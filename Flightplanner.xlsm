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hishek.thumaty\Downloads\"/>
    </mc:Choice>
  </mc:AlternateContent>
  <xr:revisionPtr revIDLastSave="0" documentId="13_ncr:1_{560F8ADD-51DF-4097-B89A-E84CC32FA4D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Flights" sheetId="2" r:id="rId1"/>
    <sheet name="Typical" sheetId="4" r:id="rId2"/>
    <sheet name="Optimization" sheetId="5" r:id="rId3"/>
  </sheets>
  <definedNames>
    <definedName name="ExternalData_1" localSheetId="2" hidden="1">Optimization!$B$6:$E$31</definedName>
    <definedName name="ExternalData_2" localSheetId="2" hidden="1">Optimization!$J$6:$J$15</definedName>
    <definedName name="ExternalData_3" localSheetId="0" hidden="1">Flights!$B$16:$H$20</definedName>
    <definedName name="OpenSolver_ChosenSolver" localSheetId="2" hidden="1">CBC</definedName>
    <definedName name="OpenSolver_DualsNewSheet" localSheetId="2" hidden="1">0</definedName>
    <definedName name="OpenSolver_LinearityCheck" localSheetId="2" hidden="1">1</definedName>
    <definedName name="OpenSolver_UpdateSensitivity" localSheetId="2" hidden="1">1</definedName>
    <definedName name="solver_adj" localSheetId="2" hidden="1">Optimization!$G$7:$G$31</definedName>
    <definedName name="solver_cvg" localSheetId="2" hidden="1">0.0001</definedName>
    <definedName name="solver_drv" localSheetId="2" hidden="1">1</definedName>
    <definedName name="solver_eng" localSheetId="0" hidden="1">1</definedName>
    <definedName name="solver_eng" localSheetId="2" hidden="1">2</definedName>
    <definedName name="solver_eng" localSheetId="1" hidden="1">1</definedName>
    <definedName name="solver_est" localSheetId="2" hidden="1">1</definedName>
    <definedName name="solver_itr" localSheetId="2" hidden="1">2147483647</definedName>
    <definedName name="solver_lhs1" localSheetId="2" hidden="1">Optimization!$K$3</definedName>
    <definedName name="solver_lhs2" localSheetId="2" hidden="1">Optimization!$K$4</definedName>
    <definedName name="solver_lhs3" localSheetId="2" hidden="1">Optimization!$G$7:$G$31</definedName>
    <definedName name="solver_lhs4" localSheetId="2" hidden="1">Optimization!$K$7:$K$15</definedName>
    <definedName name="solver_lhs5" localSheetId="2" hidden="1">Optimization!$G$7:$G$31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0" hidden="1">1</definedName>
    <definedName name="solver_neg" localSheetId="2" hidden="1">1</definedName>
    <definedName name="solver_neg" localSheetId="1" hidden="1">1</definedName>
    <definedName name="solver_nod" localSheetId="2" hidden="1">2147483647</definedName>
    <definedName name="solver_num" localSheetId="0" hidden="1">0</definedName>
    <definedName name="solver_num" localSheetId="2" hidden="1">5</definedName>
    <definedName name="solver_num" localSheetId="1" hidden="1">0</definedName>
    <definedName name="solver_nwt" localSheetId="2" hidden="1">1</definedName>
    <definedName name="solver_opt" localSheetId="0" hidden="1">Flights!$D$18</definedName>
    <definedName name="solver_opt" localSheetId="2" hidden="1">Optimization!$H$5</definedName>
    <definedName name="solver_opt" localSheetId="1" hidden="1">Typical!$B$8</definedName>
    <definedName name="solver_pre" localSheetId="2" hidden="1">0.000001</definedName>
    <definedName name="solver_rbv" localSheetId="2" hidden="1">1</definedName>
    <definedName name="solver_rel1" localSheetId="2" hidden="1">2</definedName>
    <definedName name="solver_rel2" localSheetId="2" hidden="1">2</definedName>
    <definedName name="solver_rel3" localSheetId="2" hidden="1">4</definedName>
    <definedName name="solver_rel4" localSheetId="2" hidden="1">2</definedName>
    <definedName name="solver_rel5" localSheetId="2" hidden="1">3</definedName>
    <definedName name="solver_rhs1" localSheetId="2" hidden="1">1</definedName>
    <definedName name="solver_rhs2" localSheetId="2" hidden="1">-1</definedName>
    <definedName name="solver_rhs3" localSheetId="2" hidden="1">integer</definedName>
    <definedName name="solver_rhs4" localSheetId="2" hidden="1">0</definedName>
    <definedName name="solver_rhs5" localSheetId="2" hidden="1">0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0.05</definedName>
    <definedName name="solver_typ" localSheetId="0" hidden="1">1</definedName>
    <definedName name="solver_typ" localSheetId="2" hidden="1">2</definedName>
    <definedName name="solver_typ" localSheetId="1" hidden="1">1</definedName>
    <definedName name="solver_val" localSheetId="0" hidden="1">0</definedName>
    <definedName name="solver_val" localSheetId="2" hidden="1">0</definedName>
    <definedName name="solver_val" localSheetId="1" hidden="1">0</definedName>
    <definedName name="solver_ver" localSheetId="0" hidden="1">3</definedName>
    <definedName name="solver_ver" localSheetId="2" hidden="1">3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" i="5" l="1"/>
  <c r="F8" i="5"/>
  <c r="H8" i="5" s="1"/>
  <c r="F9" i="5"/>
  <c r="H9" i="5" s="1"/>
  <c r="F10" i="5"/>
  <c r="H10" i="5" s="1"/>
  <c r="F11" i="5"/>
  <c r="H11" i="5" s="1"/>
  <c r="F12" i="5"/>
  <c r="H12" i="5" s="1"/>
  <c r="F13" i="5"/>
  <c r="H13" i="5" s="1"/>
  <c r="F14" i="5"/>
  <c r="H14" i="5" s="1"/>
  <c r="F15" i="5"/>
  <c r="H15" i="5" s="1"/>
  <c r="F16" i="5"/>
  <c r="H16" i="5" s="1"/>
  <c r="F17" i="5"/>
  <c r="H17" i="5" s="1"/>
  <c r="F18" i="5"/>
  <c r="H18" i="5" s="1"/>
  <c r="F19" i="5"/>
  <c r="H19" i="5" s="1"/>
  <c r="F20" i="5"/>
  <c r="H20" i="5" s="1"/>
  <c r="F21" i="5"/>
  <c r="F22" i="5"/>
  <c r="H22" i="5" s="1"/>
  <c r="F23" i="5"/>
  <c r="F24" i="5"/>
  <c r="H24" i="5" s="1"/>
  <c r="F25" i="5"/>
  <c r="F26" i="5"/>
  <c r="F27" i="5"/>
  <c r="F28" i="5"/>
  <c r="H28" i="5" s="1"/>
  <c r="F29" i="5"/>
  <c r="H29" i="5" s="1"/>
  <c r="F30" i="5"/>
  <c r="H30" i="5" s="1"/>
  <c r="F31" i="5"/>
  <c r="H31" i="5" s="1"/>
  <c r="H7" i="5"/>
  <c r="H21" i="5"/>
  <c r="H23" i="5"/>
  <c r="H25" i="5"/>
  <c r="H26" i="5"/>
  <c r="H27" i="5"/>
  <c r="M29" i="5" l="1"/>
  <c r="N29" i="5"/>
  <c r="O29" i="5"/>
  <c r="P29" i="5"/>
  <c r="R29" i="5"/>
  <c r="M30" i="5"/>
  <c r="N30" i="5"/>
  <c r="O30" i="5"/>
  <c r="P30" i="5"/>
  <c r="R30" i="5"/>
  <c r="M31" i="5"/>
  <c r="N31" i="5"/>
  <c r="O31" i="5"/>
  <c r="P31" i="5"/>
  <c r="R31" i="5"/>
  <c r="M32" i="5"/>
  <c r="N32" i="5"/>
  <c r="O32" i="5"/>
  <c r="P32" i="5"/>
  <c r="Q32" i="5"/>
  <c r="R32" i="5"/>
  <c r="S32" i="5"/>
  <c r="M33" i="5"/>
  <c r="N33" i="5"/>
  <c r="O33" i="5"/>
  <c r="P33" i="5"/>
  <c r="Q33" i="5"/>
  <c r="R33" i="5"/>
  <c r="S33" i="5"/>
  <c r="M34" i="5"/>
  <c r="N34" i="5"/>
  <c r="O34" i="5"/>
  <c r="P34" i="5"/>
  <c r="Q34" i="5"/>
  <c r="R34" i="5"/>
  <c r="S34" i="5"/>
  <c r="S29" i="5"/>
  <c r="S30" i="5"/>
  <c r="Q31" i="5"/>
  <c r="S31" i="5" l="1"/>
  <c r="Q30" i="5"/>
  <c r="Q29" i="5"/>
  <c r="F11" i="2"/>
  <c r="Q8" i="5"/>
  <c r="Q9" i="5"/>
  <c r="Q10" i="5"/>
  <c r="Q13" i="5"/>
  <c r="Q14" i="5"/>
  <c r="Q17" i="5"/>
  <c r="Q18" i="5"/>
  <c r="Q20" i="5"/>
  <c r="Q21" i="5"/>
  <c r="Q22" i="5"/>
  <c r="Q25" i="5"/>
  <c r="Q26" i="5"/>
  <c r="Q27" i="5"/>
  <c r="Q28" i="5"/>
  <c r="S7" i="5"/>
  <c r="S8" i="5"/>
  <c r="S9" i="5"/>
  <c r="S10" i="5"/>
  <c r="S11" i="5"/>
  <c r="S12" i="5"/>
  <c r="S13" i="5"/>
  <c r="S14" i="5"/>
  <c r="S16" i="5"/>
  <c r="S17" i="5"/>
  <c r="S18" i="5"/>
  <c r="S19" i="5"/>
  <c r="S20" i="5"/>
  <c r="S21" i="5"/>
  <c r="S22" i="5"/>
  <c r="S24" i="5"/>
  <c r="S25" i="5"/>
  <c r="S26" i="5"/>
  <c r="S27" i="5"/>
  <c r="S28" i="5"/>
  <c r="M21" i="5"/>
  <c r="N21" i="5"/>
  <c r="O21" i="5"/>
  <c r="P21" i="5"/>
  <c r="R21" i="5"/>
  <c r="M22" i="5"/>
  <c r="N22" i="5"/>
  <c r="O22" i="5"/>
  <c r="P22" i="5"/>
  <c r="R22" i="5"/>
  <c r="M23" i="5"/>
  <c r="N23" i="5"/>
  <c r="O23" i="5"/>
  <c r="P23" i="5"/>
  <c r="Q23" i="5"/>
  <c r="R23" i="5"/>
  <c r="S23" i="5"/>
  <c r="M24" i="5"/>
  <c r="N24" i="5"/>
  <c r="O24" i="5"/>
  <c r="P24" i="5"/>
  <c r="Q24" i="5"/>
  <c r="R24" i="5"/>
  <c r="M25" i="5"/>
  <c r="N25" i="5"/>
  <c r="O25" i="5"/>
  <c r="P25" i="5"/>
  <c r="R25" i="5"/>
  <c r="M26" i="5"/>
  <c r="N26" i="5"/>
  <c r="O26" i="5"/>
  <c r="P26" i="5"/>
  <c r="R26" i="5"/>
  <c r="M27" i="5"/>
  <c r="N27" i="5"/>
  <c r="O27" i="5"/>
  <c r="P27" i="5"/>
  <c r="R27" i="5"/>
  <c r="M28" i="5"/>
  <c r="N28" i="5"/>
  <c r="O28" i="5"/>
  <c r="P28" i="5"/>
  <c r="R28" i="5"/>
  <c r="M17" i="5"/>
  <c r="N17" i="5"/>
  <c r="O17" i="5"/>
  <c r="P17" i="5"/>
  <c r="R17" i="5"/>
  <c r="M18" i="5"/>
  <c r="N18" i="5"/>
  <c r="O18" i="5"/>
  <c r="P18" i="5"/>
  <c r="R18" i="5"/>
  <c r="M19" i="5"/>
  <c r="N19" i="5"/>
  <c r="O19" i="5"/>
  <c r="P19" i="5"/>
  <c r="Q19" i="5"/>
  <c r="R19" i="5"/>
  <c r="M20" i="5"/>
  <c r="N20" i="5"/>
  <c r="O20" i="5"/>
  <c r="P20" i="5"/>
  <c r="R20" i="5"/>
  <c r="M7" i="5"/>
  <c r="N7" i="5"/>
  <c r="O7" i="5"/>
  <c r="P7" i="5"/>
  <c r="Q7" i="5"/>
  <c r="R7" i="5"/>
  <c r="M8" i="5"/>
  <c r="N8" i="5"/>
  <c r="O8" i="5"/>
  <c r="P8" i="5"/>
  <c r="R8" i="5"/>
  <c r="M9" i="5"/>
  <c r="N9" i="5"/>
  <c r="O9" i="5"/>
  <c r="P9" i="5"/>
  <c r="R9" i="5"/>
  <c r="M10" i="5"/>
  <c r="N10" i="5"/>
  <c r="O10" i="5"/>
  <c r="P10" i="5"/>
  <c r="R10" i="5"/>
  <c r="M11" i="5"/>
  <c r="N11" i="5"/>
  <c r="O11" i="5"/>
  <c r="P11" i="5"/>
  <c r="Q11" i="5"/>
  <c r="R11" i="5"/>
  <c r="M12" i="5"/>
  <c r="N12" i="5"/>
  <c r="O12" i="5"/>
  <c r="P12" i="5"/>
  <c r="Q12" i="5"/>
  <c r="R12" i="5"/>
  <c r="M13" i="5"/>
  <c r="N13" i="5"/>
  <c r="O13" i="5"/>
  <c r="P13" i="5"/>
  <c r="R13" i="5"/>
  <c r="M14" i="5"/>
  <c r="N14" i="5"/>
  <c r="O14" i="5"/>
  <c r="P14" i="5"/>
  <c r="R14" i="5"/>
  <c r="M15" i="5"/>
  <c r="N15" i="5"/>
  <c r="O15" i="5"/>
  <c r="P15" i="5"/>
  <c r="Q15" i="5"/>
  <c r="R15" i="5"/>
  <c r="S15" i="5"/>
  <c r="M16" i="5"/>
  <c r="N16" i="5"/>
  <c r="O16" i="5"/>
  <c r="P16" i="5"/>
  <c r="Q16" i="5"/>
  <c r="R16" i="5"/>
  <c r="K7" i="5"/>
  <c r="K8" i="5"/>
  <c r="K9" i="5"/>
  <c r="K10" i="5"/>
  <c r="K11" i="5"/>
  <c r="K12" i="5"/>
  <c r="K13" i="5"/>
  <c r="K14" i="5"/>
  <c r="K15" i="5"/>
  <c r="J3" i="5"/>
  <c r="K3" i="5" s="1"/>
  <c r="C12" i="2"/>
  <c r="J4" i="5" s="1"/>
  <c r="K4" i="5" s="1"/>
  <c r="H5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6" background="1" saveData="1">
    <dbPr connection="Provider=Microsoft.Mashup.OleDb.1;Data Source=$Workbook$;Location=Table1;Extended Properties=&quot;&quot;" command="SELECT * FROM [Table1]"/>
  </connection>
  <connection id="2" xr16:uid="{00000000-0015-0000-FFFF-FFFF01000000}" keepAlive="1" name="Query - Table1 (2)" description="Connection to the 'Table1 (2)' query in the workbook." type="5" refreshedVersion="6" background="1" saveData="1">
    <dbPr connection="Provider=Microsoft.Mashup.OleDb.1;Data Source=$Workbook$;Location=Table1 (2);Extended Properties=&quot;&quot;" command="SELECT * FROM [Table1 (2)]"/>
  </connection>
  <connection id="3" xr16:uid="{00000000-0015-0000-FFFF-FFFF02000000}" keepAlive="1" name="Query - Table3" description="Connection to the 'Table3' query in the workbook." type="5" refreshedVersion="0" background="1">
    <dbPr connection="Provider=Microsoft.Mashup.OleDb.1;Data Source=$Workbook$;Location=Table3;Extended Properties=&quot;&quot;" command="SELECT * FROM [Table3]"/>
  </connection>
  <connection id="4" xr16:uid="{00000000-0015-0000-FFFF-FFFF03000000}" keepAlive="1" name="Query - Table7" description="Connection to the 'Table7' query in the workbook." type="5" refreshedVersion="6" background="1" saveData="1">
    <dbPr connection="Provider=Microsoft.Mashup.OleDb.1;Data Source=$Workbook$;Location=Table7;Extended Properties=&quot;&quot;" command="SELECT * FROM [Table7]"/>
  </connection>
</connections>
</file>

<file path=xl/sharedStrings.xml><?xml version="1.0" encoding="utf-8"?>
<sst xmlns="http://schemas.openxmlformats.org/spreadsheetml/2006/main" count="178" uniqueCount="41">
  <si>
    <t>Start</t>
  </si>
  <si>
    <t>End</t>
  </si>
  <si>
    <t>Order</t>
  </si>
  <si>
    <t>JFK</t>
  </si>
  <si>
    <t>ATL</t>
  </si>
  <si>
    <t>Harlem</t>
  </si>
  <si>
    <t>LGA</t>
  </si>
  <si>
    <t>BDL</t>
  </si>
  <si>
    <t>BOS</t>
  </si>
  <si>
    <t>LoganExpress</t>
  </si>
  <si>
    <t>Uber</t>
  </si>
  <si>
    <t>Train</t>
  </si>
  <si>
    <t>Plane</t>
  </si>
  <si>
    <t>walk</t>
  </si>
  <si>
    <t>bus</t>
  </si>
  <si>
    <t>Car</t>
  </si>
  <si>
    <t>Parking</t>
  </si>
  <si>
    <t>Travel Type</t>
  </si>
  <si>
    <t>Value</t>
  </si>
  <si>
    <t>43 Chestnut st.</t>
  </si>
  <si>
    <t>Union Station</t>
  </si>
  <si>
    <t>Rye</t>
  </si>
  <si>
    <t>Grand Central</t>
  </si>
  <si>
    <t>train</t>
  </si>
  <si>
    <t>Starting</t>
  </si>
  <si>
    <t>PVD</t>
  </si>
  <si>
    <t>Parking/day</t>
  </si>
  <si>
    <t>Location</t>
  </si>
  <si>
    <t>Total</t>
  </si>
  <si>
    <t>Flights</t>
  </si>
  <si>
    <t>Travel Days</t>
  </si>
  <si>
    <t>Ending</t>
  </si>
  <si>
    <t xml:space="preserve">Start--&gt;  </t>
  </si>
  <si>
    <t>Stops</t>
  </si>
  <si>
    <t>Balance</t>
  </si>
  <si>
    <t>Grand Total</t>
  </si>
  <si>
    <t>Fixed Cost</t>
  </si>
  <si>
    <t>Travel Details</t>
  </si>
  <si>
    <t>Ideal Itinerary</t>
  </si>
  <si>
    <t>Outcome</t>
  </si>
  <si>
    <t>Optimized Travel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</si>
</sst>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NumberFormat="1"/>
    <xf numFmtId="6" fontId="0" fillId="0" borderId="0" xfId="0" applyNumberFormat="1" applyAlignment="1">
      <alignment horizontal="center"/>
    </xf>
    <xf numFmtId="164" fontId="0" fillId="0" borderId="0" xfId="1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3" borderId="0" xfId="0" applyFont="1" applyFill="1" applyAlignment="1">
      <alignment horizontal="center"/>
    </xf>
    <xf numFmtId="0" fontId="0" fillId="0" borderId="2" xfId="0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4" borderId="1" xfId="1" applyNumberFormat="1" applyFont="1" applyFill="1" applyBorder="1" applyAlignment="1">
      <alignment horizontal="center"/>
    </xf>
    <xf numFmtId="0" fontId="0" fillId="5" borderId="5" xfId="0" applyFill="1" applyBorder="1"/>
    <xf numFmtId="0" fontId="1" fillId="3" borderId="0" xfId="0" applyFont="1" applyFill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</cellXfs>
  <cellStyles count="2">
    <cellStyle name="Currency" xfId="1" builtinId="4"/>
    <cellStyle name="Normal" xfId="0" builtinId="0"/>
  </cellStyles>
  <dxfs count="50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$&quot;#,##0"/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&quot;$&quot;#,##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8</xdr:row>
          <xdr:rowOff>47625</xdr:rowOff>
        </xdr:from>
        <xdr:to>
          <xdr:col>5</xdr:col>
          <xdr:colOff>619125</xdr:colOff>
          <xdr:row>9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Optimization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00000000-0016-0000-0000-000000000000}" autoFormatId="16" applyNumberFormats="0" applyBorderFormats="0" applyFontFormats="0" applyPatternFormats="0" applyAlignmentFormats="0" applyWidthHeightFormats="0">
  <queryTableRefresh nextId="8">
    <queryTableFields count="7">
      <queryTableField id="1" name="Starting" tableColumnId="1"/>
      <queryTableField id="2" name="Travel Type" tableColumnId="2"/>
      <queryTableField id="3" name="Ending" tableColumnId="3"/>
      <queryTableField id="4" name="Fixed Cost" tableColumnId="4"/>
      <queryTableField id="5" name="Parking" tableColumnId="5"/>
      <queryTableField id="6" name="Order" tableColumnId="6"/>
      <queryTableField id="7" name="Total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1000000}" autoFormatId="16" applyNumberFormats="0" applyBorderFormats="0" applyFontFormats="0" applyPatternFormats="0" applyAlignmentFormats="0" applyWidthHeightFormats="0">
  <queryTableRefresh nextId="13" unboundColumnsRight="3">
    <queryTableFields count="7">
      <queryTableField id="8" name="Starting" tableColumnId="8"/>
      <queryTableField id="2" name="Travel type" tableColumnId="2"/>
      <queryTableField id="11" name="Ending" tableColumnId="10"/>
      <queryTableField id="4" name="Value" tableColumnId="4"/>
      <queryTableField id="5" dataBound="0" tableColumnId="5"/>
      <queryTableField id="7" dataBound="0" tableColumnId="7"/>
      <queryTableField id="6" dataBound="0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100-000002000000}" autoFormatId="16" applyNumberFormats="0" applyBorderFormats="0" applyFontFormats="0" applyPatternFormats="0" applyAlignmentFormats="0" applyWidthHeightFormats="0">
  <queryTableRefresh nextId="3" unboundColumnsRight="1">
    <queryTableFields count="2">
      <queryTableField id="1" name="Table1 (2)" tableColumnId="1"/>
      <queryTableField id="2" dataBound="0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CB50E2-B92D-4212-9D68-FA3AA706F43E}" name="Table3" displayName="Table3" ref="B3:C8" totalsRowShown="0" headerRowDxfId="49" dataDxfId="48">
  <autoFilter ref="B3:C8" xr:uid="{14D2DE9E-0280-483D-87CC-55736133C471}"/>
  <tableColumns count="2">
    <tableColumn id="1" xr3:uid="{EAFF869B-38E7-4060-8515-C50AD1F4BFC8}" name="Starting" dataDxfId="47"/>
    <tableColumn id="2" xr3:uid="{1A9CCD03-BD78-49CB-A519-11A6D8358BA9}" name="ATL" dataDxfId="46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1078287-7488-4C19-BBD7-B802320D1BD4}" name="Table7_2" displayName="Table7_2" ref="B16:H20" tableType="queryTable" totalsRowShown="0" dataDxfId="45">
  <autoFilter ref="B16:H20" xr:uid="{3C4FFA48-F15D-4376-9EFA-C2427044BD43}"/>
  <tableColumns count="7">
    <tableColumn id="1" xr3:uid="{6ACC51FB-E25D-4304-8929-5CFAA0A09E37}" uniqueName="1" name="Starting" queryTableFieldId="1" dataDxfId="44"/>
    <tableColumn id="2" xr3:uid="{FE8FAE95-6148-406F-B62B-A2C3D1C848EC}" uniqueName="2" name="Travel Type" queryTableFieldId="2" dataDxfId="43"/>
    <tableColumn id="3" xr3:uid="{5D68D398-3B1A-471F-8AED-77F3FD9CCAB2}" uniqueName="3" name="Ending" queryTableFieldId="3" dataDxfId="42"/>
    <tableColumn id="4" xr3:uid="{5FBA9E42-43D2-435A-98CA-4131F582B5FD}" uniqueName="4" name="Fixed Cost" queryTableFieldId="4" dataDxfId="41"/>
    <tableColumn id="5" xr3:uid="{10EDC820-2DD5-48BF-838C-4111E6B629FB}" uniqueName="5" name="Parking" queryTableFieldId="5" dataDxfId="40"/>
    <tableColumn id="6" xr3:uid="{1D0A98DB-5CB6-4BB9-9931-41D206BB2669}" uniqueName="6" name="Order" queryTableFieldId="6" dataDxfId="39"/>
    <tableColumn id="7" xr3:uid="{1B1382AC-48D4-4E0E-957A-DC021850DECE}" uniqueName="7" name="Total" queryTableFieldId="7" dataDxfId="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0B48F0-E891-41B6-A456-CA5A945E3320}" name="Table1" displayName="Table1" ref="B14:M22" totalsRowShown="0" headerRowDxfId="37" dataDxfId="36">
  <autoFilter ref="B14:M22" xr:uid="{EA48C274-122F-4370-891A-488D7FC37A0B}"/>
  <tableColumns count="12">
    <tableColumn id="1" xr3:uid="{394DE855-647D-4814-993A-2112CBBC84E3}" name="Starting" dataDxfId="35"/>
    <tableColumn id="2" xr3:uid="{EDD632C0-E52E-4E99-ADB8-AA18846BC854}" name="Travel Type" dataDxfId="34"/>
    <tableColumn id="3" xr3:uid="{9145AB63-4DE8-410B-8689-77B2A8D9A8BB}" name="Union Station" dataDxfId="33"/>
    <tableColumn id="4" xr3:uid="{1E06CFB7-CE29-40D5-9C8C-5B7F0E382F11}" name="Rye" dataDxfId="32"/>
    <tableColumn id="5" xr3:uid="{ADE9876C-46A5-45F1-B243-E45D947D274E}" name="Harlem" dataDxfId="31"/>
    <tableColumn id="6" xr3:uid="{61660443-16AF-46FF-A3DF-ED1590757ACB}" name="Grand Central" dataDxfId="30"/>
    <tableColumn id="7" xr3:uid="{EBDAFD26-0E49-4849-8D92-26863446EEE3}" name="LGA" dataDxfId="29"/>
    <tableColumn id="8" xr3:uid="{45017614-E574-4785-8031-55D23665787D}" name="JFK" dataDxfId="28"/>
    <tableColumn id="9" xr3:uid="{BE0572DD-C40A-4FF3-8BEC-708A0EA49FB0}" name="LoganExpress" dataDxfId="27"/>
    <tableColumn id="10" xr3:uid="{E8E26959-ACBA-430D-98F0-475A7D6B9E57}" name="BOS" dataDxfId="26"/>
    <tableColumn id="11" xr3:uid="{90B54E30-8C33-4749-985C-6EE6CB5491B8}" name="PVD" dataDxfId="25"/>
    <tableColumn id="12" xr3:uid="{0C57669F-5122-4F64-BE1A-6AB40DE90F22}" name="BDL" dataDxfId="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A842749-D02B-43C3-AF80-83451A6F2EE0}" name="Table6" displayName="Table6" ref="B2:C12" totalsRowShown="0">
  <autoFilter ref="B2:C12" xr:uid="{8DF71FA8-34E1-4600-9C02-274749838C4E}"/>
  <tableColumns count="2">
    <tableColumn id="1" xr3:uid="{128C6CBE-8540-4490-8752-9E713039ABA6}" name="Location" dataDxfId="23" dataCellStyle="Currency"/>
    <tableColumn id="2" xr3:uid="{2B4181D9-7389-46DE-A770-D9FC27CDE923}" name="Parking/day" dataDxfId="22" dataCellStyle="Currenc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95336DD-6A0B-41AC-9399-6F6083DA9E1C}" name="Table1_2" displayName="Table1_2" ref="B6:H31" tableType="queryTable" totalsRowShown="0" headerRowDxfId="21" dataDxfId="20">
  <autoFilter ref="B6:H31" xr:uid="{A3B3EC2A-8D03-4FFA-A4EF-2C3592DA4449}"/>
  <tableColumns count="7">
    <tableColumn id="8" xr3:uid="{3D1730CE-92E6-440C-9BA2-68C7039D8B71}" uniqueName="8" name="Starting" queryTableFieldId="8" dataDxfId="19"/>
    <tableColumn id="2" xr3:uid="{CFD2960F-1EEE-4716-AC22-3C6E4E0C5BED}" uniqueName="2" name="Travel Type" queryTableFieldId="2" dataDxfId="18"/>
    <tableColumn id="10" xr3:uid="{9CC87984-3FC9-4176-81D2-CF42518B9BB7}" uniqueName="10" name="Ending" queryTableFieldId="11" dataDxfId="17"/>
    <tableColumn id="4" xr3:uid="{B3064E0F-7D23-4777-870F-8678F176C795}" uniqueName="4" name="Value" queryTableFieldId="4" dataDxfId="16"/>
    <tableColumn id="5" xr3:uid="{CCE09538-99B1-4441-9A9B-B9BF6AD85ABF}" uniqueName="5" name="Parking" queryTableFieldId="5" dataDxfId="15">
      <calculatedColumnFormula>IF(Table1_2[[#This Row],[Travel Type]]="Car", Flights!$C$13*VLOOKUP(Table1_2[Ending], Typical!$B$3:$C$12, 2, FALSE), 0)</calculatedColumnFormula>
    </tableColumn>
    <tableColumn id="7" xr3:uid="{C8F27FF8-E27A-48B7-A9F3-1E6172739286}" uniqueName="7" name="Order" queryTableFieldId="7" dataDxfId="14"/>
    <tableColumn id="6" xr3:uid="{753B9067-AF0E-4179-8B13-51AE3BD869C9}" uniqueName="6" name="Total" queryTableFieldId="6" dataDxfId="13">
      <calculatedColumnFormula>(Table1_2[Value]+Table1_2[Parking])*Table1_2[Order]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CA358B-15F1-4C2A-B5B9-EA5DCE660B71}" name="Table1__2" displayName="Table1__2" ref="J6:K15" tableType="queryTable" totalsRowShown="0" headerRowDxfId="12" dataDxfId="11">
  <autoFilter ref="J6:K15" xr:uid="{3827835C-37FF-4402-A4FC-E2BB852F4D9B}"/>
  <tableColumns count="2">
    <tableColumn id="1" xr3:uid="{0FEF1BEB-9FEA-42C9-93D7-14739FA1D6B7}" uniqueName="1" name="Stops" queryTableFieldId="1" dataDxfId="10"/>
    <tableColumn id="2" xr3:uid="{680FDAF0-3785-4E8C-8E48-5F86B76F6EA2}" uniqueName="2" name="Balance" queryTableFieldId="2" dataDxfId="9">
      <calculatedColumnFormula>SUMIF(Table1_2[Starting], Table1__2[[#This Row],[Stops]], Table1_2[Order])-SUMIF(Table1_2[Ending], Table1__2[[#This Row],[Stops]], Table1_2[Order])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E7E597-7CDB-4E7E-B86D-D0E387BFA11A}" name="Table7" displayName="Table7" ref="M6:S34" totalsRowShown="0" headerRowDxfId="8" dataDxfId="7">
  <autoFilter ref="M6:S34" xr:uid="{0EE98112-901B-4AEC-880F-8D0B89A1A98B}"/>
  <tableColumns count="7">
    <tableColumn id="1" xr3:uid="{5B907C5F-DF78-419F-9B75-E72B41B7C261}" name="Starting" dataDxfId="6">
      <calculatedColumnFormula>B7</calculatedColumnFormula>
    </tableColumn>
    <tableColumn id="2" xr3:uid="{4908FC03-8AC3-4698-B8E2-996FA83ACDBC}" name="Travel Type" dataDxfId="5">
      <calculatedColumnFormula>C7</calculatedColumnFormula>
    </tableColumn>
    <tableColumn id="3" xr3:uid="{85AB94C8-355A-40FA-AF66-074290E1DC36}" name="Ending" dataDxfId="4">
      <calculatedColumnFormula>D7</calculatedColumnFormula>
    </tableColumn>
    <tableColumn id="4" xr3:uid="{C4AD0C20-2BC7-4048-8172-700A4300AF6F}" name="Fixed Cost" dataDxfId="3">
      <calculatedColumnFormula>E7</calculatedColumnFormula>
    </tableColumn>
    <tableColumn id="5" xr3:uid="{8F8B20A0-071D-4EBF-BF1C-C3957B7282FA}" name="Parking" dataDxfId="2">
      <calculatedColumnFormula>F7</calculatedColumnFormula>
    </tableColumn>
    <tableColumn id="6" xr3:uid="{915B9DD5-8AAA-4393-AD75-FA9360CC1D02}" name="Order" dataDxfId="1">
      <calculatedColumnFormula>G7</calculatedColumnFormula>
    </tableColumn>
    <tableColumn id="7" xr3:uid="{EA96F5AB-49FD-4F16-A97D-5CAD7E49CE4C}" name="Total" dataDxfId="0">
      <calculatedColumnFormula>H7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2:H20"/>
  <sheetViews>
    <sheetView tabSelected="1" workbookViewId="0">
      <selection activeCell="G8" sqref="G8"/>
    </sheetView>
  </sheetViews>
  <sheetFormatPr defaultRowHeight="15" x14ac:dyDescent="0.25"/>
  <cols>
    <col min="2" max="2" width="13.42578125" bestFit="1" customWidth="1"/>
    <col min="3" max="3" width="12.5703125" style="1" bestFit="1" customWidth="1"/>
    <col min="4" max="4" width="12.5703125" bestFit="1" customWidth="1"/>
    <col min="5" max="5" width="11.5703125" bestFit="1" customWidth="1"/>
    <col min="6" max="6" width="9.42578125" bestFit="1" customWidth="1"/>
    <col min="7" max="7" width="8" bestFit="1" customWidth="1"/>
    <col min="8" max="8" width="7.42578125" bestFit="1" customWidth="1"/>
    <col min="9" max="9" width="9.42578125" bestFit="1" customWidth="1"/>
    <col min="10" max="10" width="8" bestFit="1" customWidth="1"/>
    <col min="11" max="11" width="11" customWidth="1"/>
  </cols>
  <sheetData>
    <row r="2" spans="1:8" x14ac:dyDescent="0.25">
      <c r="A2" s="1"/>
      <c r="B2" s="17" t="s">
        <v>29</v>
      </c>
      <c r="C2" s="17"/>
    </row>
    <row r="3" spans="1:8" x14ac:dyDescent="0.25">
      <c r="A3" s="1"/>
      <c r="B3" s="1" t="s">
        <v>24</v>
      </c>
      <c r="C3" s="1" t="s">
        <v>4</v>
      </c>
    </row>
    <row r="4" spans="1:8" x14ac:dyDescent="0.25">
      <c r="A4" s="1"/>
      <c r="B4" s="1" t="s">
        <v>6</v>
      </c>
      <c r="C4" s="14">
        <v>208</v>
      </c>
    </row>
    <row r="5" spans="1:8" x14ac:dyDescent="0.25">
      <c r="A5" s="1"/>
      <c r="B5" s="1" t="s">
        <v>3</v>
      </c>
      <c r="C5" s="14">
        <v>188</v>
      </c>
    </row>
    <row r="6" spans="1:8" x14ac:dyDescent="0.25">
      <c r="A6" s="1"/>
      <c r="B6" s="1" t="s">
        <v>7</v>
      </c>
      <c r="C6" s="14">
        <v>209</v>
      </c>
    </row>
    <row r="7" spans="1:8" x14ac:dyDescent="0.25">
      <c r="A7" s="1"/>
      <c r="B7" s="1" t="s">
        <v>25</v>
      </c>
      <c r="C7" s="14">
        <v>160</v>
      </c>
    </row>
    <row r="8" spans="1:8" x14ac:dyDescent="0.25">
      <c r="A8" s="1"/>
      <c r="B8" s="1" t="s">
        <v>8</v>
      </c>
      <c r="C8" s="14">
        <v>400</v>
      </c>
    </row>
    <row r="9" spans="1:8" x14ac:dyDescent="0.25">
      <c r="A9" s="1"/>
    </row>
    <row r="10" spans="1:8" ht="15.75" thickBot="1" x14ac:dyDescent="0.3">
      <c r="A10" s="1"/>
      <c r="B10" s="18" t="s">
        <v>37</v>
      </c>
      <c r="C10" s="18"/>
    </row>
    <row r="11" spans="1:8" ht="15.75" thickBot="1" x14ac:dyDescent="0.3">
      <c r="A11" s="1"/>
      <c r="B11" s="10" t="s">
        <v>0</v>
      </c>
      <c r="C11" s="11" t="s">
        <v>19</v>
      </c>
      <c r="E11" s="19" t="s">
        <v>40</v>
      </c>
      <c r="F11" s="15">
        <f>SUM(Table7_2[Total])</f>
        <v>229.01</v>
      </c>
    </row>
    <row r="12" spans="1:8" ht="15.75" thickBot="1" x14ac:dyDescent="0.3">
      <c r="A12" s="1"/>
      <c r="B12" s="10" t="s">
        <v>1</v>
      </c>
      <c r="C12" s="11" t="str">
        <f>Table3[[#Headers],[ATL]]</f>
        <v>ATL</v>
      </c>
      <c r="E12" s="20"/>
      <c r="F12" s="16"/>
    </row>
    <row r="13" spans="1:8" x14ac:dyDescent="0.25">
      <c r="A13" s="1"/>
      <c r="B13" s="10" t="s">
        <v>30</v>
      </c>
      <c r="C13" s="11">
        <v>3</v>
      </c>
    </row>
    <row r="14" spans="1:8" x14ac:dyDescent="0.25">
      <c r="A14" s="1"/>
      <c r="B14" s="3"/>
      <c r="C14" s="3"/>
    </row>
    <row r="15" spans="1:8" x14ac:dyDescent="0.25">
      <c r="A15" s="1"/>
      <c r="B15" s="18" t="s">
        <v>38</v>
      </c>
      <c r="C15" s="18"/>
      <c r="D15" s="18"/>
      <c r="E15" s="18"/>
      <c r="F15" s="18"/>
      <c r="G15" s="18"/>
      <c r="H15" s="18"/>
    </row>
    <row r="16" spans="1:8" x14ac:dyDescent="0.25">
      <c r="B16" t="s">
        <v>24</v>
      </c>
      <c r="C16" t="s">
        <v>17</v>
      </c>
      <c r="D16" t="s">
        <v>31</v>
      </c>
      <c r="E16" t="s">
        <v>36</v>
      </c>
      <c r="F16" t="s">
        <v>16</v>
      </c>
      <c r="G16" t="s">
        <v>2</v>
      </c>
      <c r="H16" t="s">
        <v>28</v>
      </c>
    </row>
    <row r="17" spans="2:8" x14ac:dyDescent="0.25">
      <c r="B17" s="7" t="s">
        <v>19</v>
      </c>
      <c r="C17" s="7" t="s">
        <v>13</v>
      </c>
      <c r="D17" s="7" t="s">
        <v>20</v>
      </c>
      <c r="E17" s="1">
        <v>0.01</v>
      </c>
      <c r="F17" s="1">
        <v>0</v>
      </c>
      <c r="G17" s="1">
        <v>1</v>
      </c>
      <c r="H17" s="1">
        <v>0.01</v>
      </c>
    </row>
    <row r="18" spans="2:8" x14ac:dyDescent="0.25">
      <c r="B18" s="7" t="s">
        <v>20</v>
      </c>
      <c r="C18" s="7" t="s">
        <v>11</v>
      </c>
      <c r="D18" s="7" t="s">
        <v>22</v>
      </c>
      <c r="E18" s="1">
        <v>17</v>
      </c>
      <c r="F18" s="1">
        <v>0</v>
      </c>
      <c r="G18" s="1">
        <v>1</v>
      </c>
      <c r="H18" s="1">
        <v>17</v>
      </c>
    </row>
    <row r="19" spans="2:8" x14ac:dyDescent="0.25">
      <c r="B19" s="7" t="s">
        <v>22</v>
      </c>
      <c r="C19" s="7" t="s">
        <v>14</v>
      </c>
      <c r="D19" s="7" t="s">
        <v>3</v>
      </c>
      <c r="E19" s="1">
        <v>24</v>
      </c>
      <c r="F19" s="1">
        <v>0</v>
      </c>
      <c r="G19" s="1">
        <v>1</v>
      </c>
      <c r="H19" s="1">
        <v>24</v>
      </c>
    </row>
    <row r="20" spans="2:8" x14ac:dyDescent="0.25">
      <c r="B20" s="7" t="s">
        <v>3</v>
      </c>
      <c r="C20" s="7" t="s">
        <v>12</v>
      </c>
      <c r="D20" s="7" t="s">
        <v>4</v>
      </c>
      <c r="E20" s="1">
        <v>188</v>
      </c>
      <c r="F20" s="1">
        <v>0</v>
      </c>
      <c r="G20" s="1">
        <v>1</v>
      </c>
      <c r="H20" s="1">
        <v>188</v>
      </c>
    </row>
  </sheetData>
  <mergeCells count="4">
    <mergeCell ref="B2:C2"/>
    <mergeCell ref="B10:C10"/>
    <mergeCell ref="B15:H15"/>
    <mergeCell ref="E11:E1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>
                  <from>
                    <xdr:col>4</xdr:col>
                    <xdr:colOff>142875</xdr:colOff>
                    <xdr:row>8</xdr:row>
                    <xdr:rowOff>47625</xdr:rowOff>
                  </from>
                  <to>
                    <xdr:col>5</xdr:col>
                    <xdr:colOff>619125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D5075-C1C4-430A-B25D-A99B3D3D4EC8}">
  <sheetPr codeName="Sheet2"/>
  <dimension ref="A1:M22"/>
  <sheetViews>
    <sheetView workbookViewId="0">
      <selection activeCell="B8" sqref="B8"/>
    </sheetView>
  </sheetViews>
  <sheetFormatPr defaultRowHeight="15" x14ac:dyDescent="0.25"/>
  <cols>
    <col min="1" max="1" width="14" customWidth="1"/>
    <col min="2" max="2" width="16.7109375" customWidth="1"/>
    <col min="3" max="3" width="18" customWidth="1"/>
    <col min="4" max="4" width="17.5703125" customWidth="1"/>
    <col min="5" max="5" width="15.42578125" customWidth="1"/>
    <col min="6" max="6" width="13.140625" customWidth="1"/>
    <col min="7" max="7" width="19" customWidth="1"/>
    <col min="8" max="8" width="14.5703125" customWidth="1"/>
    <col min="9" max="9" width="16" customWidth="1"/>
    <col min="10" max="10" width="18.140625" customWidth="1"/>
    <col min="11" max="11" width="13.5703125" customWidth="1"/>
    <col min="12" max="12" width="14.85546875" customWidth="1"/>
    <col min="13" max="13" width="13.85546875" customWidth="1"/>
  </cols>
  <sheetData>
    <row r="1" spans="1:13" s="2" customFormat="1" x14ac:dyDescent="0.25"/>
    <row r="2" spans="1:13" s="2" customFormat="1" x14ac:dyDescent="0.25">
      <c r="B2" s="1" t="s">
        <v>27</v>
      </c>
      <c r="C2" s="6" t="s">
        <v>26</v>
      </c>
    </row>
    <row r="3" spans="1:13" s="2" customFormat="1" x14ac:dyDescent="0.25">
      <c r="B3" s="6" t="s">
        <v>20</v>
      </c>
      <c r="C3" s="6">
        <v>10</v>
      </c>
    </row>
    <row r="4" spans="1:13" s="2" customFormat="1" x14ac:dyDescent="0.25">
      <c r="B4" s="6" t="s">
        <v>21</v>
      </c>
      <c r="C4" s="6">
        <v>0.01</v>
      </c>
    </row>
    <row r="5" spans="1:13" s="2" customFormat="1" x14ac:dyDescent="0.25">
      <c r="B5" s="6" t="s">
        <v>5</v>
      </c>
      <c r="C5" s="6">
        <v>20</v>
      </c>
    </row>
    <row r="6" spans="1:13" s="2" customFormat="1" x14ac:dyDescent="0.25">
      <c r="B6" s="6" t="s">
        <v>22</v>
      </c>
      <c r="C6" s="6">
        <v>35</v>
      </c>
    </row>
    <row r="7" spans="1:13" s="2" customFormat="1" x14ac:dyDescent="0.25">
      <c r="B7" s="6" t="s">
        <v>6</v>
      </c>
      <c r="C7" s="6">
        <v>40</v>
      </c>
    </row>
    <row r="8" spans="1:13" s="2" customFormat="1" x14ac:dyDescent="0.25">
      <c r="B8" s="6" t="s">
        <v>3</v>
      </c>
      <c r="C8" s="6">
        <v>40</v>
      </c>
    </row>
    <row r="9" spans="1:13" s="2" customFormat="1" x14ac:dyDescent="0.25">
      <c r="B9" s="6" t="s">
        <v>9</v>
      </c>
      <c r="C9" s="6">
        <v>7</v>
      </c>
    </row>
    <row r="10" spans="1:13" s="2" customFormat="1" x14ac:dyDescent="0.25">
      <c r="B10" s="6" t="s">
        <v>8</v>
      </c>
      <c r="C10" s="6">
        <v>50</v>
      </c>
    </row>
    <row r="11" spans="1:13" s="2" customFormat="1" x14ac:dyDescent="0.25">
      <c r="B11" s="6" t="s">
        <v>25</v>
      </c>
      <c r="C11" s="6">
        <v>30</v>
      </c>
    </row>
    <row r="12" spans="1:13" s="2" customFormat="1" x14ac:dyDescent="0.25">
      <c r="B12" s="6" t="s">
        <v>7</v>
      </c>
      <c r="C12" s="6">
        <v>35</v>
      </c>
    </row>
    <row r="13" spans="1:13" s="2" customFormat="1" x14ac:dyDescent="0.25"/>
    <row r="14" spans="1:13" x14ac:dyDescent="0.25">
      <c r="B14" s="1" t="s">
        <v>24</v>
      </c>
      <c r="C14" s="1" t="s">
        <v>17</v>
      </c>
      <c r="D14" s="1" t="s">
        <v>20</v>
      </c>
      <c r="E14" s="1" t="s">
        <v>21</v>
      </c>
      <c r="F14" s="1" t="s">
        <v>5</v>
      </c>
      <c r="G14" s="1" t="s">
        <v>22</v>
      </c>
      <c r="H14" s="1" t="s">
        <v>6</v>
      </c>
      <c r="I14" s="1" t="s">
        <v>3</v>
      </c>
      <c r="J14" s="1" t="s">
        <v>9</v>
      </c>
      <c r="K14" s="1" t="s">
        <v>8</v>
      </c>
      <c r="L14" s="1" t="s">
        <v>25</v>
      </c>
      <c r="M14" s="1" t="s">
        <v>7</v>
      </c>
    </row>
    <row r="15" spans="1:13" x14ac:dyDescent="0.25">
      <c r="A15" s="8" t="s">
        <v>32</v>
      </c>
      <c r="B15" s="1" t="s">
        <v>19</v>
      </c>
      <c r="C15" s="1" t="s">
        <v>13</v>
      </c>
      <c r="D15" s="1">
        <v>0.01</v>
      </c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25">
      <c r="B16" s="1" t="s">
        <v>19</v>
      </c>
      <c r="C16" s="1" t="s">
        <v>10</v>
      </c>
      <c r="D16" s="5">
        <v>5</v>
      </c>
      <c r="E16" s="5">
        <v>10</v>
      </c>
      <c r="F16" s="5"/>
      <c r="G16" s="5"/>
      <c r="H16" s="5"/>
      <c r="I16" s="1"/>
      <c r="J16" s="1"/>
      <c r="K16" s="1"/>
      <c r="L16" s="1"/>
      <c r="M16" s="1"/>
    </row>
    <row r="17" spans="2:13" x14ac:dyDescent="0.25">
      <c r="B17" s="1" t="s">
        <v>19</v>
      </c>
      <c r="C17" s="1" t="s">
        <v>15</v>
      </c>
      <c r="D17" s="1">
        <v>0.01</v>
      </c>
      <c r="E17" s="1">
        <v>0.01</v>
      </c>
      <c r="F17" s="1"/>
      <c r="G17" s="5">
        <v>18</v>
      </c>
      <c r="H17" s="5">
        <v>20</v>
      </c>
      <c r="I17" s="5">
        <v>25</v>
      </c>
      <c r="J17" s="5">
        <v>10</v>
      </c>
      <c r="K17" s="5">
        <v>15</v>
      </c>
      <c r="L17" s="5">
        <v>10</v>
      </c>
      <c r="M17" s="5">
        <v>15</v>
      </c>
    </row>
    <row r="18" spans="2:13" x14ac:dyDescent="0.25">
      <c r="B18" s="1" t="s">
        <v>20</v>
      </c>
      <c r="C18" s="1" t="s">
        <v>11</v>
      </c>
      <c r="D18" s="1"/>
      <c r="E18" s="1"/>
      <c r="F18" s="5">
        <v>17</v>
      </c>
      <c r="G18" s="5">
        <v>17</v>
      </c>
      <c r="H18" s="5"/>
      <c r="I18" s="5"/>
      <c r="J18" s="5"/>
      <c r="K18" s="5"/>
      <c r="L18" s="5"/>
      <c r="M18" s="5"/>
    </row>
    <row r="19" spans="2:13" x14ac:dyDescent="0.25">
      <c r="B19" s="1" t="s">
        <v>21</v>
      </c>
      <c r="C19" s="1" t="s">
        <v>23</v>
      </c>
      <c r="D19" s="1"/>
      <c r="E19" s="1"/>
      <c r="F19" s="5">
        <v>17</v>
      </c>
      <c r="G19" s="5">
        <v>17</v>
      </c>
      <c r="H19" s="1"/>
      <c r="I19" s="1"/>
      <c r="J19" s="1"/>
      <c r="K19" s="1"/>
      <c r="L19" s="1"/>
      <c r="M19" s="1"/>
    </row>
    <row r="20" spans="2:13" x14ac:dyDescent="0.25">
      <c r="B20" s="1" t="s">
        <v>5</v>
      </c>
      <c r="C20" s="1" t="s">
        <v>14</v>
      </c>
      <c r="D20" s="1"/>
      <c r="E20" s="1"/>
      <c r="F20" s="1"/>
      <c r="G20" s="1"/>
      <c r="H20" s="5">
        <v>18</v>
      </c>
      <c r="I20" s="5"/>
      <c r="J20" s="1"/>
      <c r="K20" s="1"/>
      <c r="L20" s="1"/>
      <c r="M20" s="1"/>
    </row>
    <row r="21" spans="2:13" x14ac:dyDescent="0.25">
      <c r="B21" s="1" t="s">
        <v>22</v>
      </c>
      <c r="C21" s="1" t="s">
        <v>14</v>
      </c>
      <c r="D21" s="1"/>
      <c r="E21" s="1"/>
      <c r="F21" s="1"/>
      <c r="G21" s="1"/>
      <c r="H21" s="5">
        <v>18</v>
      </c>
      <c r="I21" s="5">
        <v>24</v>
      </c>
      <c r="J21" s="1"/>
      <c r="K21" s="1"/>
      <c r="L21" s="1"/>
      <c r="M21" s="1"/>
    </row>
    <row r="22" spans="2:13" x14ac:dyDescent="0.25">
      <c r="B22" s="1" t="s">
        <v>9</v>
      </c>
      <c r="C22" s="1" t="s">
        <v>14</v>
      </c>
      <c r="D22" s="1"/>
      <c r="E22" s="1"/>
      <c r="F22" s="1"/>
      <c r="G22" s="1"/>
      <c r="H22" s="1"/>
      <c r="I22" s="1"/>
      <c r="J22" s="1"/>
      <c r="K22" s="5">
        <v>10</v>
      </c>
      <c r="L22" s="1"/>
      <c r="M22" s="1"/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C5798-3235-45C5-BB6D-461925958E07}">
  <sheetPr codeName="Sheet3"/>
  <dimension ref="B2:S34"/>
  <sheetViews>
    <sheetView workbookViewId="0">
      <selection activeCell="M5" sqref="M5:S5"/>
    </sheetView>
  </sheetViews>
  <sheetFormatPr defaultRowHeight="15" x14ac:dyDescent="0.25"/>
  <cols>
    <col min="2" max="2" width="13.42578125" style="1" bestFit="1" customWidth="1"/>
    <col min="3" max="3" width="14.85546875" style="1" bestFit="1" customWidth="1"/>
    <col min="4" max="4" width="12.5703125" style="1" bestFit="1" customWidth="1"/>
    <col min="5" max="5" width="10.140625" style="1" bestFit="1" customWidth="1"/>
    <col min="6" max="6" width="11.5703125" style="1" bestFit="1" customWidth="1"/>
    <col min="7" max="7" width="10.28515625" style="1" bestFit="1" customWidth="1"/>
    <col min="8" max="9" width="9.5703125" style="1" bestFit="1" customWidth="1"/>
    <col min="10" max="10" width="13" style="1" customWidth="1"/>
    <col min="11" max="11" width="15.140625" style="1" customWidth="1"/>
    <col min="12" max="12" width="9.5703125" style="1" bestFit="1" customWidth="1"/>
    <col min="13" max="13" width="14.7109375" style="1" customWidth="1"/>
    <col min="14" max="14" width="13.85546875" style="1" customWidth="1"/>
    <col min="15" max="15" width="11.5703125" style="1" customWidth="1"/>
    <col min="16" max="16" width="11.42578125" style="1" customWidth="1"/>
    <col min="17" max="17" width="9.140625" style="1" customWidth="1"/>
    <col min="18" max="19" width="8.7109375" style="1"/>
  </cols>
  <sheetData>
    <row r="2" spans="2:19" x14ac:dyDescent="0.25">
      <c r="J2" s="12"/>
      <c r="K2" s="12" t="s">
        <v>34</v>
      </c>
    </row>
    <row r="3" spans="2:19" x14ac:dyDescent="0.25">
      <c r="J3" s="10" t="str">
        <f>Flights!C11</f>
        <v>43 Chestnut st.</v>
      </c>
      <c r="K3" s="10">
        <f>SUMIF(Table1_2[Starting], J3, Table1_2[Order])-SUMIF(Table1_2[Ending], J3, Table1_2[Order])</f>
        <v>1</v>
      </c>
    </row>
    <row r="4" spans="2:19" x14ac:dyDescent="0.25">
      <c r="J4" s="10" t="str">
        <f>Flights!C12</f>
        <v>ATL</v>
      </c>
      <c r="K4" s="10">
        <f>SUMIF(Table1_2[Starting], J4, Table1_2[Order])-SUMIF(Table1_2[Ending], J4, Table1_2[Order])</f>
        <v>-1</v>
      </c>
    </row>
    <row r="5" spans="2:19" x14ac:dyDescent="0.25">
      <c r="G5" s="9" t="s">
        <v>35</v>
      </c>
      <c r="H5" s="13">
        <f>SUM(Table1_2[Total])</f>
        <v>229.01</v>
      </c>
      <c r="M5" s="17" t="s">
        <v>39</v>
      </c>
      <c r="N5" s="17"/>
      <c r="O5" s="17"/>
      <c r="P5" s="17"/>
      <c r="Q5" s="17"/>
      <c r="R5" s="17"/>
      <c r="S5" s="17"/>
    </row>
    <row r="6" spans="2:19" x14ac:dyDescent="0.25">
      <c r="B6" t="s">
        <v>24</v>
      </c>
      <c r="C6" s="1" t="s">
        <v>17</v>
      </c>
      <c r="D6" t="s">
        <v>31</v>
      </c>
      <c r="E6" s="1" t="s">
        <v>18</v>
      </c>
      <c r="F6" s="1" t="s">
        <v>16</v>
      </c>
      <c r="G6" s="1" t="s">
        <v>2</v>
      </c>
      <c r="H6" s="1" t="s">
        <v>28</v>
      </c>
      <c r="I6"/>
      <c r="J6" s="1" t="s">
        <v>33</v>
      </c>
      <c r="K6" s="1" t="s">
        <v>34</v>
      </c>
      <c r="L6"/>
      <c r="M6" s="1" t="s">
        <v>24</v>
      </c>
      <c r="N6" s="1" t="s">
        <v>17</v>
      </c>
      <c r="O6" s="1" t="s">
        <v>31</v>
      </c>
      <c r="P6" s="1" t="s">
        <v>36</v>
      </c>
      <c r="Q6" s="1" t="s">
        <v>16</v>
      </c>
      <c r="R6" s="1" t="s">
        <v>2</v>
      </c>
      <c r="S6" s="1" t="s">
        <v>28</v>
      </c>
    </row>
    <row r="7" spans="2:19" x14ac:dyDescent="0.25">
      <c r="B7" s="4" t="s">
        <v>19</v>
      </c>
      <c r="C7" s="7" t="s">
        <v>13</v>
      </c>
      <c r="D7" s="4" t="s">
        <v>20</v>
      </c>
      <c r="E7" s="1">
        <v>0.01</v>
      </c>
      <c r="F7" s="7">
        <f>IF(Table1_2[[#This Row],[Travel Type]]="Car", Flights!$C$13*VLOOKUP(Table1_2[Ending], Typical!$B$3:$C$12, 2, FALSE), 0)</f>
        <v>0</v>
      </c>
      <c r="G7" s="7">
        <v>1</v>
      </c>
      <c r="H7" s="7">
        <f>(Table1_2[Value]+Table1_2[Parking])*Table1_2[Order]</f>
        <v>0.01</v>
      </c>
      <c r="I7"/>
      <c r="J7" s="1" t="s">
        <v>21</v>
      </c>
      <c r="K7" s="1">
        <f>SUMIF(Table1_2[Starting], Table1__2[[#This Row],[Stops]], Table1_2[Order])-SUMIF(Table1_2[Ending], Table1__2[[#This Row],[Stops]], Table1_2[Order])</f>
        <v>0</v>
      </c>
      <c r="L7"/>
      <c r="M7" s="1" t="str">
        <f t="shared" ref="M7:M28" si="0">B7</f>
        <v>43 Chestnut st.</v>
      </c>
      <c r="N7" s="1" t="str">
        <f t="shared" ref="N7:N28" si="1">C7</f>
        <v>walk</v>
      </c>
      <c r="O7" s="1" t="str">
        <f t="shared" ref="O7:O28" si="2">D7</f>
        <v>Union Station</v>
      </c>
      <c r="P7" s="1">
        <f t="shared" ref="P7:P28" si="3">E7</f>
        <v>0.01</v>
      </c>
      <c r="Q7" s="1">
        <f t="shared" ref="Q7:Q28" si="4">F7</f>
        <v>0</v>
      </c>
      <c r="R7" s="1">
        <f t="shared" ref="R7:R28" si="5">G7</f>
        <v>1</v>
      </c>
      <c r="S7" s="1">
        <f t="shared" ref="S7:S28" si="6">H7</f>
        <v>0.01</v>
      </c>
    </row>
    <row r="8" spans="2:19" x14ac:dyDescent="0.25">
      <c r="B8" s="4" t="s">
        <v>19</v>
      </c>
      <c r="C8" s="7" t="s">
        <v>10</v>
      </c>
      <c r="D8" s="4" t="s">
        <v>20</v>
      </c>
      <c r="E8" s="1">
        <v>5</v>
      </c>
      <c r="F8" s="7">
        <f>IF(Table1_2[[#This Row],[Travel Type]]="Car", Flights!$C$13*VLOOKUP(Table1_2[Ending], Typical!$B$3:$C$12, 2, FALSE), 0)</f>
        <v>0</v>
      </c>
      <c r="G8" s="7">
        <v>0</v>
      </c>
      <c r="H8" s="7">
        <f>(Table1_2[Value]+Table1_2[Parking])*Table1_2[Order]</f>
        <v>0</v>
      </c>
      <c r="I8"/>
      <c r="J8" s="1" t="s">
        <v>5</v>
      </c>
      <c r="K8" s="1">
        <f>SUMIF(Table1_2[Starting], Table1__2[[#This Row],[Stops]], Table1_2[Order])-SUMIF(Table1_2[Ending], Table1__2[[#This Row],[Stops]], Table1_2[Order])</f>
        <v>0</v>
      </c>
      <c r="L8"/>
      <c r="M8" s="1" t="str">
        <f t="shared" si="0"/>
        <v>43 Chestnut st.</v>
      </c>
      <c r="N8" s="1" t="str">
        <f t="shared" si="1"/>
        <v>Uber</v>
      </c>
      <c r="O8" s="1" t="str">
        <f t="shared" si="2"/>
        <v>Union Station</v>
      </c>
      <c r="P8" s="1">
        <f t="shared" si="3"/>
        <v>5</v>
      </c>
      <c r="Q8" s="1">
        <f t="shared" si="4"/>
        <v>0</v>
      </c>
      <c r="R8" s="1">
        <f t="shared" si="5"/>
        <v>0</v>
      </c>
      <c r="S8" s="1">
        <f t="shared" si="6"/>
        <v>0</v>
      </c>
    </row>
    <row r="9" spans="2:19" x14ac:dyDescent="0.25">
      <c r="B9" s="4" t="s">
        <v>19</v>
      </c>
      <c r="C9" s="7" t="s">
        <v>10</v>
      </c>
      <c r="D9" s="4" t="s">
        <v>21</v>
      </c>
      <c r="E9" s="1">
        <v>10</v>
      </c>
      <c r="F9" s="7">
        <f>IF(Table1_2[[#This Row],[Travel Type]]="Car", Flights!$C$13*VLOOKUP(Table1_2[Ending], Typical!$B$3:$C$12, 2, FALSE), 0)</f>
        <v>0</v>
      </c>
      <c r="G9" s="7">
        <v>0</v>
      </c>
      <c r="H9" s="7">
        <f>(Table1_2[Value]+Table1_2[Parking])*Table1_2[Order]</f>
        <v>0</v>
      </c>
      <c r="I9"/>
      <c r="J9" s="1" t="s">
        <v>22</v>
      </c>
      <c r="K9" s="1">
        <f>SUMIF(Table1_2[Starting], Table1__2[[#This Row],[Stops]], Table1_2[Order])-SUMIF(Table1_2[Ending], Table1__2[[#This Row],[Stops]], Table1_2[Order])</f>
        <v>0</v>
      </c>
      <c r="L9"/>
      <c r="M9" s="1" t="str">
        <f t="shared" si="0"/>
        <v>43 Chestnut st.</v>
      </c>
      <c r="N9" s="1" t="str">
        <f t="shared" si="1"/>
        <v>Uber</v>
      </c>
      <c r="O9" s="1" t="str">
        <f t="shared" si="2"/>
        <v>Rye</v>
      </c>
      <c r="P9" s="1">
        <f t="shared" si="3"/>
        <v>10</v>
      </c>
      <c r="Q9" s="1">
        <f t="shared" si="4"/>
        <v>0</v>
      </c>
      <c r="R9" s="1">
        <f t="shared" si="5"/>
        <v>0</v>
      </c>
      <c r="S9" s="1">
        <f t="shared" si="6"/>
        <v>0</v>
      </c>
    </row>
    <row r="10" spans="2:19" x14ac:dyDescent="0.25">
      <c r="B10" s="4" t="s">
        <v>19</v>
      </c>
      <c r="C10" s="7" t="s">
        <v>15</v>
      </c>
      <c r="D10" s="4" t="s">
        <v>20</v>
      </c>
      <c r="E10" s="1">
        <v>0.01</v>
      </c>
      <c r="F10" s="7">
        <f>IF(Table1_2[[#This Row],[Travel Type]]="Car", Flights!$C$13*VLOOKUP(Table1_2[Ending], Typical!$B$3:$C$12, 2, FALSE), 0)</f>
        <v>30</v>
      </c>
      <c r="G10" s="7">
        <v>0</v>
      </c>
      <c r="H10" s="7">
        <f>(Table1_2[Value]+Table1_2[Parking])*Table1_2[Order]</f>
        <v>0</v>
      </c>
      <c r="I10"/>
      <c r="J10" s="1" t="s">
        <v>9</v>
      </c>
      <c r="K10" s="1">
        <f>SUMIF(Table1_2[Starting], Table1__2[[#This Row],[Stops]], Table1_2[Order])-SUMIF(Table1_2[Ending], Table1__2[[#This Row],[Stops]], Table1_2[Order])</f>
        <v>0</v>
      </c>
      <c r="L10"/>
      <c r="M10" s="1" t="str">
        <f t="shared" si="0"/>
        <v>43 Chestnut st.</v>
      </c>
      <c r="N10" s="1" t="str">
        <f t="shared" si="1"/>
        <v>Car</v>
      </c>
      <c r="O10" s="1" t="str">
        <f t="shared" si="2"/>
        <v>Union Station</v>
      </c>
      <c r="P10" s="1">
        <f t="shared" si="3"/>
        <v>0.01</v>
      </c>
      <c r="Q10" s="1">
        <f t="shared" si="4"/>
        <v>30</v>
      </c>
      <c r="R10" s="1">
        <f t="shared" si="5"/>
        <v>0</v>
      </c>
      <c r="S10" s="1">
        <f t="shared" si="6"/>
        <v>0</v>
      </c>
    </row>
    <row r="11" spans="2:19" x14ac:dyDescent="0.25">
      <c r="B11" s="4" t="s">
        <v>19</v>
      </c>
      <c r="C11" s="7" t="s">
        <v>15</v>
      </c>
      <c r="D11" s="4" t="s">
        <v>21</v>
      </c>
      <c r="E11" s="1">
        <v>0.01</v>
      </c>
      <c r="F11" s="7">
        <f>IF(Table1_2[[#This Row],[Travel Type]]="Car", Flights!$C$13*VLOOKUP(Table1_2[Ending], Typical!$B$3:$C$12, 2, FALSE), 0)</f>
        <v>0.03</v>
      </c>
      <c r="G11" s="7">
        <v>0</v>
      </c>
      <c r="H11" s="7">
        <f>(Table1_2[Value]+Table1_2[Parking])*Table1_2[Order]</f>
        <v>0</v>
      </c>
      <c r="I11"/>
      <c r="J11" s="1" t="s">
        <v>6</v>
      </c>
      <c r="K11" s="1">
        <f>SUMIF(Table1_2[Starting], Table1__2[[#This Row],[Stops]], Table1_2[Order])-SUMIF(Table1_2[Ending], Table1__2[[#This Row],[Stops]], Table1_2[Order])</f>
        <v>0</v>
      </c>
      <c r="L11"/>
      <c r="M11" s="1" t="str">
        <f t="shared" si="0"/>
        <v>43 Chestnut st.</v>
      </c>
      <c r="N11" s="1" t="str">
        <f t="shared" si="1"/>
        <v>Car</v>
      </c>
      <c r="O11" s="1" t="str">
        <f t="shared" si="2"/>
        <v>Rye</v>
      </c>
      <c r="P11" s="1">
        <f t="shared" si="3"/>
        <v>0.01</v>
      </c>
      <c r="Q11" s="1">
        <f t="shared" si="4"/>
        <v>0.03</v>
      </c>
      <c r="R11" s="1">
        <f t="shared" si="5"/>
        <v>0</v>
      </c>
      <c r="S11" s="1">
        <f t="shared" si="6"/>
        <v>0</v>
      </c>
    </row>
    <row r="12" spans="2:19" x14ac:dyDescent="0.25">
      <c r="B12" s="4" t="s">
        <v>19</v>
      </c>
      <c r="C12" s="7" t="s">
        <v>15</v>
      </c>
      <c r="D12" s="4" t="s">
        <v>22</v>
      </c>
      <c r="E12" s="1">
        <v>18</v>
      </c>
      <c r="F12" s="7">
        <f>IF(Table1_2[[#This Row],[Travel Type]]="Car", Flights!$C$13*VLOOKUP(Table1_2[Ending], Typical!$B$3:$C$12, 2, FALSE), 0)</f>
        <v>105</v>
      </c>
      <c r="G12" s="7">
        <v>0</v>
      </c>
      <c r="H12" s="7">
        <f>(Table1_2[Value]+Table1_2[Parking])*Table1_2[Order]</f>
        <v>0</v>
      </c>
      <c r="I12"/>
      <c r="J12" s="1" t="s">
        <v>3</v>
      </c>
      <c r="K12" s="1">
        <f>SUMIF(Table1_2[Starting], Table1__2[[#This Row],[Stops]], Table1_2[Order])-SUMIF(Table1_2[Ending], Table1__2[[#This Row],[Stops]], Table1_2[Order])</f>
        <v>0</v>
      </c>
      <c r="L12"/>
      <c r="M12" s="1" t="str">
        <f t="shared" si="0"/>
        <v>43 Chestnut st.</v>
      </c>
      <c r="N12" s="1" t="str">
        <f t="shared" si="1"/>
        <v>Car</v>
      </c>
      <c r="O12" s="1" t="str">
        <f t="shared" si="2"/>
        <v>Grand Central</v>
      </c>
      <c r="P12" s="1">
        <f t="shared" si="3"/>
        <v>18</v>
      </c>
      <c r="Q12" s="1">
        <f t="shared" si="4"/>
        <v>105</v>
      </c>
      <c r="R12" s="1">
        <f t="shared" si="5"/>
        <v>0</v>
      </c>
      <c r="S12" s="1">
        <f t="shared" si="6"/>
        <v>0</v>
      </c>
    </row>
    <row r="13" spans="2:19" x14ac:dyDescent="0.25">
      <c r="B13" s="4" t="s">
        <v>19</v>
      </c>
      <c r="C13" s="7" t="s">
        <v>15</v>
      </c>
      <c r="D13" s="4" t="s">
        <v>6</v>
      </c>
      <c r="E13" s="1">
        <v>20</v>
      </c>
      <c r="F13" s="7">
        <f>IF(Table1_2[[#This Row],[Travel Type]]="Car", Flights!$C$13*VLOOKUP(Table1_2[Ending], Typical!$B$3:$C$12, 2, FALSE), 0)</f>
        <v>120</v>
      </c>
      <c r="G13" s="7">
        <v>0</v>
      </c>
      <c r="H13" s="7">
        <f>(Table1_2[Value]+Table1_2[Parking])*Table1_2[Order]</f>
        <v>0</v>
      </c>
      <c r="I13"/>
      <c r="J13" s="1" t="s">
        <v>7</v>
      </c>
      <c r="K13" s="1">
        <f>SUMIF(Table1_2[Starting], Table1__2[[#This Row],[Stops]], Table1_2[Order])-SUMIF(Table1_2[Ending], Table1__2[[#This Row],[Stops]], Table1_2[Order])</f>
        <v>0</v>
      </c>
      <c r="L13"/>
      <c r="M13" s="1" t="str">
        <f t="shared" si="0"/>
        <v>43 Chestnut st.</v>
      </c>
      <c r="N13" s="1" t="str">
        <f t="shared" si="1"/>
        <v>Car</v>
      </c>
      <c r="O13" s="1" t="str">
        <f t="shared" si="2"/>
        <v>LGA</v>
      </c>
      <c r="P13" s="1">
        <f t="shared" si="3"/>
        <v>20</v>
      </c>
      <c r="Q13" s="1">
        <f t="shared" si="4"/>
        <v>120</v>
      </c>
      <c r="R13" s="1">
        <f t="shared" si="5"/>
        <v>0</v>
      </c>
      <c r="S13" s="1">
        <f t="shared" si="6"/>
        <v>0</v>
      </c>
    </row>
    <row r="14" spans="2:19" x14ac:dyDescent="0.25">
      <c r="B14" s="4" t="s">
        <v>19</v>
      </c>
      <c r="C14" s="7" t="s">
        <v>15</v>
      </c>
      <c r="D14" s="4" t="s">
        <v>3</v>
      </c>
      <c r="E14" s="1">
        <v>25</v>
      </c>
      <c r="F14" s="7">
        <f>IF(Table1_2[[#This Row],[Travel Type]]="Car", Flights!$C$13*VLOOKUP(Table1_2[Ending], Typical!$B$3:$C$12, 2, FALSE), 0)</f>
        <v>120</v>
      </c>
      <c r="G14" s="7">
        <v>0</v>
      </c>
      <c r="H14" s="7">
        <f>(Table1_2[Value]+Table1_2[Parking])*Table1_2[Order]</f>
        <v>0</v>
      </c>
      <c r="I14"/>
      <c r="J14" s="1" t="s">
        <v>25</v>
      </c>
      <c r="K14" s="1">
        <f>SUMIF(Table1_2[Starting], Table1__2[[#This Row],[Stops]], Table1_2[Order])-SUMIF(Table1_2[Ending], Table1__2[[#This Row],[Stops]], Table1_2[Order])</f>
        <v>0</v>
      </c>
      <c r="L14"/>
      <c r="M14" s="1" t="str">
        <f t="shared" si="0"/>
        <v>43 Chestnut st.</v>
      </c>
      <c r="N14" s="1" t="str">
        <f t="shared" si="1"/>
        <v>Car</v>
      </c>
      <c r="O14" s="1" t="str">
        <f t="shared" si="2"/>
        <v>JFK</v>
      </c>
      <c r="P14" s="1">
        <f t="shared" si="3"/>
        <v>25</v>
      </c>
      <c r="Q14" s="1">
        <f t="shared" si="4"/>
        <v>120</v>
      </c>
      <c r="R14" s="1">
        <f t="shared" si="5"/>
        <v>0</v>
      </c>
      <c r="S14" s="1">
        <f t="shared" si="6"/>
        <v>0</v>
      </c>
    </row>
    <row r="15" spans="2:19" x14ac:dyDescent="0.25">
      <c r="B15" s="4" t="s">
        <v>19</v>
      </c>
      <c r="C15" s="7" t="s">
        <v>15</v>
      </c>
      <c r="D15" s="4" t="s">
        <v>9</v>
      </c>
      <c r="E15" s="1">
        <v>10</v>
      </c>
      <c r="F15" s="7">
        <f>IF(Table1_2[[#This Row],[Travel Type]]="Car", Flights!$C$13*VLOOKUP(Table1_2[Ending], Typical!$B$3:$C$12, 2, FALSE), 0)</f>
        <v>21</v>
      </c>
      <c r="G15" s="7">
        <v>0</v>
      </c>
      <c r="H15" s="7">
        <f>(Table1_2[Value]+Table1_2[Parking])*Table1_2[Order]</f>
        <v>0</v>
      </c>
      <c r="I15"/>
      <c r="J15" s="1" t="s">
        <v>8</v>
      </c>
      <c r="K15" s="1">
        <f>SUMIF(Table1_2[Starting], Table1__2[[#This Row],[Stops]], Table1_2[Order])-SUMIF(Table1_2[Ending], Table1__2[[#This Row],[Stops]], Table1_2[Order])</f>
        <v>0</v>
      </c>
      <c r="L15"/>
      <c r="M15" s="1" t="str">
        <f t="shared" si="0"/>
        <v>43 Chestnut st.</v>
      </c>
      <c r="N15" s="1" t="str">
        <f t="shared" si="1"/>
        <v>Car</v>
      </c>
      <c r="O15" s="1" t="str">
        <f t="shared" si="2"/>
        <v>LoganExpress</v>
      </c>
      <c r="P15" s="1">
        <f t="shared" si="3"/>
        <v>10</v>
      </c>
      <c r="Q15" s="1">
        <f t="shared" si="4"/>
        <v>21</v>
      </c>
      <c r="R15" s="1">
        <f t="shared" si="5"/>
        <v>0</v>
      </c>
      <c r="S15" s="1">
        <f t="shared" si="6"/>
        <v>0</v>
      </c>
    </row>
    <row r="16" spans="2:19" x14ac:dyDescent="0.25">
      <c r="B16" s="4" t="s">
        <v>19</v>
      </c>
      <c r="C16" s="7" t="s">
        <v>15</v>
      </c>
      <c r="D16" s="4" t="s">
        <v>8</v>
      </c>
      <c r="E16" s="1">
        <v>15</v>
      </c>
      <c r="F16" s="7">
        <f>IF(Table1_2[[#This Row],[Travel Type]]="Car", Flights!$C$13*VLOOKUP(Table1_2[Ending], Typical!$B$3:$C$12, 2, FALSE), 0)</f>
        <v>150</v>
      </c>
      <c r="G16" s="7">
        <v>0</v>
      </c>
      <c r="H16" s="7">
        <f>(Table1_2[Value]+Table1_2[Parking])*Table1_2[Order]</f>
        <v>0</v>
      </c>
      <c r="I16"/>
      <c r="L16"/>
      <c r="M16" s="1" t="str">
        <f t="shared" si="0"/>
        <v>43 Chestnut st.</v>
      </c>
      <c r="N16" s="1" t="str">
        <f t="shared" si="1"/>
        <v>Car</v>
      </c>
      <c r="O16" s="1" t="str">
        <f t="shared" si="2"/>
        <v>BOS</v>
      </c>
      <c r="P16" s="1">
        <f t="shared" si="3"/>
        <v>15</v>
      </c>
      <c r="Q16" s="1">
        <f t="shared" si="4"/>
        <v>150</v>
      </c>
      <c r="R16" s="1">
        <f t="shared" si="5"/>
        <v>0</v>
      </c>
      <c r="S16" s="1">
        <f t="shared" si="6"/>
        <v>0</v>
      </c>
    </row>
    <row r="17" spans="2:19" x14ac:dyDescent="0.25">
      <c r="B17" s="4" t="s">
        <v>19</v>
      </c>
      <c r="C17" s="7" t="s">
        <v>15</v>
      </c>
      <c r="D17" s="4" t="s">
        <v>25</v>
      </c>
      <c r="E17" s="1">
        <v>10</v>
      </c>
      <c r="F17" s="7">
        <f>IF(Table1_2[[#This Row],[Travel Type]]="Car", Flights!$C$13*VLOOKUP(Table1_2[Ending], Typical!$B$3:$C$12, 2, FALSE), 0)</f>
        <v>90</v>
      </c>
      <c r="G17" s="7">
        <v>0</v>
      </c>
      <c r="H17" s="7">
        <f>(Table1_2[Value]+Table1_2[Parking])*Table1_2[Order]</f>
        <v>0</v>
      </c>
      <c r="I17"/>
      <c r="L17"/>
      <c r="M17" s="1" t="str">
        <f t="shared" si="0"/>
        <v>43 Chestnut st.</v>
      </c>
      <c r="N17" s="1" t="str">
        <f t="shared" si="1"/>
        <v>Car</v>
      </c>
      <c r="O17" s="1" t="str">
        <f t="shared" si="2"/>
        <v>PVD</v>
      </c>
      <c r="P17" s="1">
        <f t="shared" si="3"/>
        <v>10</v>
      </c>
      <c r="Q17" s="1">
        <f t="shared" si="4"/>
        <v>90</v>
      </c>
      <c r="R17" s="1">
        <f t="shared" si="5"/>
        <v>0</v>
      </c>
      <c r="S17" s="1">
        <f t="shared" si="6"/>
        <v>0</v>
      </c>
    </row>
    <row r="18" spans="2:19" x14ac:dyDescent="0.25">
      <c r="B18" s="4" t="s">
        <v>19</v>
      </c>
      <c r="C18" s="7" t="s">
        <v>15</v>
      </c>
      <c r="D18" s="4" t="s">
        <v>7</v>
      </c>
      <c r="E18" s="1">
        <v>15</v>
      </c>
      <c r="F18" s="7">
        <f>IF(Table1_2[[#This Row],[Travel Type]]="Car", Flights!$C$13*VLOOKUP(Table1_2[Ending], Typical!$B$3:$C$12, 2, FALSE), 0)</f>
        <v>105</v>
      </c>
      <c r="G18" s="7">
        <v>0</v>
      </c>
      <c r="H18" s="7">
        <f>(Table1_2[Value]+Table1_2[Parking])*Table1_2[Order]</f>
        <v>0</v>
      </c>
      <c r="I18"/>
      <c r="L18"/>
      <c r="M18" s="1" t="str">
        <f t="shared" si="0"/>
        <v>43 Chestnut st.</v>
      </c>
      <c r="N18" s="1" t="str">
        <f t="shared" si="1"/>
        <v>Car</v>
      </c>
      <c r="O18" s="1" t="str">
        <f t="shared" si="2"/>
        <v>BDL</v>
      </c>
      <c r="P18" s="1">
        <f t="shared" si="3"/>
        <v>15</v>
      </c>
      <c r="Q18" s="1">
        <f t="shared" si="4"/>
        <v>105</v>
      </c>
      <c r="R18" s="1">
        <f t="shared" si="5"/>
        <v>0</v>
      </c>
      <c r="S18" s="1">
        <f t="shared" si="6"/>
        <v>0</v>
      </c>
    </row>
    <row r="19" spans="2:19" x14ac:dyDescent="0.25">
      <c r="B19" s="4" t="s">
        <v>20</v>
      </c>
      <c r="C19" s="7" t="s">
        <v>11</v>
      </c>
      <c r="D19" s="4" t="s">
        <v>5</v>
      </c>
      <c r="E19" s="1">
        <v>17</v>
      </c>
      <c r="F19" s="7">
        <f>IF(Table1_2[[#This Row],[Travel Type]]="Car", Flights!$C$13*VLOOKUP(Table1_2[Ending], Typical!$B$3:$C$12, 2, FALSE), 0)</f>
        <v>0</v>
      </c>
      <c r="G19" s="7">
        <v>0</v>
      </c>
      <c r="H19" s="7">
        <f>(Table1_2[Value]+Table1_2[Parking])*Table1_2[Order]</f>
        <v>0</v>
      </c>
      <c r="I19"/>
      <c r="L19"/>
      <c r="M19" s="1" t="str">
        <f t="shared" si="0"/>
        <v>Union Station</v>
      </c>
      <c r="N19" s="1" t="str">
        <f t="shared" si="1"/>
        <v>Train</v>
      </c>
      <c r="O19" s="1" t="str">
        <f t="shared" si="2"/>
        <v>Harlem</v>
      </c>
      <c r="P19" s="1">
        <f t="shared" si="3"/>
        <v>17</v>
      </c>
      <c r="Q19" s="1">
        <f t="shared" si="4"/>
        <v>0</v>
      </c>
      <c r="R19" s="1">
        <f t="shared" si="5"/>
        <v>0</v>
      </c>
      <c r="S19" s="1">
        <f t="shared" si="6"/>
        <v>0</v>
      </c>
    </row>
    <row r="20" spans="2:19" x14ac:dyDescent="0.25">
      <c r="B20" s="4" t="s">
        <v>20</v>
      </c>
      <c r="C20" s="7" t="s">
        <v>11</v>
      </c>
      <c r="D20" s="4" t="s">
        <v>22</v>
      </c>
      <c r="E20" s="1">
        <v>17</v>
      </c>
      <c r="F20" s="7">
        <f>IF(Table1_2[[#This Row],[Travel Type]]="Car", Flights!$C$13*VLOOKUP(Table1_2[Ending], Typical!$B$3:$C$12, 2, FALSE), 0)</f>
        <v>0</v>
      </c>
      <c r="G20" s="7">
        <v>1</v>
      </c>
      <c r="H20" s="7">
        <f>(Table1_2[Value]+Table1_2[Parking])*Table1_2[Order]</f>
        <v>17</v>
      </c>
      <c r="I20"/>
      <c r="L20"/>
      <c r="M20" s="1" t="str">
        <f t="shared" si="0"/>
        <v>Union Station</v>
      </c>
      <c r="N20" s="1" t="str">
        <f t="shared" si="1"/>
        <v>Train</v>
      </c>
      <c r="O20" s="1" t="str">
        <f t="shared" si="2"/>
        <v>Grand Central</v>
      </c>
      <c r="P20" s="1">
        <f t="shared" si="3"/>
        <v>17</v>
      </c>
      <c r="Q20" s="1">
        <f t="shared" si="4"/>
        <v>0</v>
      </c>
      <c r="R20" s="1">
        <f t="shared" si="5"/>
        <v>1</v>
      </c>
      <c r="S20" s="1">
        <f t="shared" si="6"/>
        <v>17</v>
      </c>
    </row>
    <row r="21" spans="2:19" x14ac:dyDescent="0.25">
      <c r="B21" s="4" t="s">
        <v>21</v>
      </c>
      <c r="C21" s="7" t="s">
        <v>23</v>
      </c>
      <c r="D21" s="4" t="s">
        <v>5</v>
      </c>
      <c r="E21" s="1">
        <v>17</v>
      </c>
      <c r="F21" s="7">
        <f>IF(Table1_2[[#This Row],[Travel Type]]="Car", Flights!$C$13*VLOOKUP(Table1_2[Ending], Typical!$B$3:$C$12, 2, FALSE), 0)</f>
        <v>0</v>
      </c>
      <c r="G21" s="7">
        <v>0</v>
      </c>
      <c r="H21" s="7">
        <f>(Table1_2[Value]+Table1_2[Parking])*Table1_2[Order]</f>
        <v>0</v>
      </c>
      <c r="I21"/>
      <c r="L21"/>
      <c r="M21" s="1" t="str">
        <f t="shared" si="0"/>
        <v>Rye</v>
      </c>
      <c r="N21" s="1" t="str">
        <f t="shared" si="1"/>
        <v>train</v>
      </c>
      <c r="O21" s="1" t="str">
        <f t="shared" si="2"/>
        <v>Harlem</v>
      </c>
      <c r="P21" s="1">
        <f t="shared" si="3"/>
        <v>17</v>
      </c>
      <c r="Q21" s="1">
        <f t="shared" si="4"/>
        <v>0</v>
      </c>
      <c r="R21" s="1">
        <f t="shared" si="5"/>
        <v>0</v>
      </c>
      <c r="S21" s="1">
        <f t="shared" si="6"/>
        <v>0</v>
      </c>
    </row>
    <row r="22" spans="2:19" x14ac:dyDescent="0.25">
      <c r="B22" s="4" t="s">
        <v>21</v>
      </c>
      <c r="C22" s="7" t="s">
        <v>23</v>
      </c>
      <c r="D22" s="4" t="s">
        <v>22</v>
      </c>
      <c r="E22" s="1">
        <v>17</v>
      </c>
      <c r="F22" s="7">
        <f>IF(Table1_2[[#This Row],[Travel Type]]="Car", Flights!$C$13*VLOOKUP(Table1_2[Ending], Typical!$B$3:$C$12, 2, FALSE), 0)</f>
        <v>0</v>
      </c>
      <c r="G22" s="7">
        <v>0</v>
      </c>
      <c r="H22" s="7">
        <f>(Table1_2[Value]+Table1_2[Parking])*Table1_2[Order]</f>
        <v>0</v>
      </c>
      <c r="I22"/>
      <c r="L22"/>
      <c r="M22" s="1" t="str">
        <f t="shared" si="0"/>
        <v>Rye</v>
      </c>
      <c r="N22" s="1" t="str">
        <f t="shared" si="1"/>
        <v>train</v>
      </c>
      <c r="O22" s="1" t="str">
        <f t="shared" si="2"/>
        <v>Grand Central</v>
      </c>
      <c r="P22" s="1">
        <f t="shared" si="3"/>
        <v>17</v>
      </c>
      <c r="Q22" s="1">
        <f t="shared" si="4"/>
        <v>0</v>
      </c>
      <c r="R22" s="1">
        <f t="shared" si="5"/>
        <v>0</v>
      </c>
      <c r="S22" s="1">
        <f t="shared" si="6"/>
        <v>0</v>
      </c>
    </row>
    <row r="23" spans="2:19" x14ac:dyDescent="0.25">
      <c r="B23" s="4" t="s">
        <v>5</v>
      </c>
      <c r="C23" s="7" t="s">
        <v>14</v>
      </c>
      <c r="D23" s="4" t="s">
        <v>6</v>
      </c>
      <c r="E23" s="1">
        <v>18</v>
      </c>
      <c r="F23" s="7">
        <f>IF(Table1_2[[#This Row],[Travel Type]]="Car", Flights!$C$13*VLOOKUP(Table1_2[Ending], Typical!$B$3:$C$12, 2, FALSE), 0)</f>
        <v>0</v>
      </c>
      <c r="G23" s="7">
        <v>0</v>
      </c>
      <c r="H23" s="7">
        <f>(Table1_2[Value]+Table1_2[Parking])*Table1_2[Order]</f>
        <v>0</v>
      </c>
      <c r="I23"/>
      <c r="L23"/>
      <c r="M23" s="1" t="str">
        <f t="shared" si="0"/>
        <v>Harlem</v>
      </c>
      <c r="N23" s="1" t="str">
        <f t="shared" si="1"/>
        <v>bus</v>
      </c>
      <c r="O23" s="1" t="str">
        <f t="shared" si="2"/>
        <v>LGA</v>
      </c>
      <c r="P23" s="1">
        <f t="shared" si="3"/>
        <v>18</v>
      </c>
      <c r="Q23" s="1">
        <f t="shared" si="4"/>
        <v>0</v>
      </c>
      <c r="R23" s="1">
        <f t="shared" si="5"/>
        <v>0</v>
      </c>
      <c r="S23" s="1">
        <f t="shared" si="6"/>
        <v>0</v>
      </c>
    </row>
    <row r="24" spans="2:19" x14ac:dyDescent="0.25">
      <c r="B24" s="4" t="s">
        <v>22</v>
      </c>
      <c r="C24" s="7" t="s">
        <v>14</v>
      </c>
      <c r="D24" s="4" t="s">
        <v>6</v>
      </c>
      <c r="E24" s="1">
        <v>18</v>
      </c>
      <c r="F24" s="7">
        <f>IF(Table1_2[[#This Row],[Travel Type]]="Car", Flights!$C$13*VLOOKUP(Table1_2[Ending], Typical!$B$3:$C$12, 2, FALSE), 0)</f>
        <v>0</v>
      </c>
      <c r="G24" s="7">
        <v>0</v>
      </c>
      <c r="H24" s="7">
        <f>(Table1_2[Value]+Table1_2[Parking])*Table1_2[Order]</f>
        <v>0</v>
      </c>
      <c r="I24"/>
      <c r="L24"/>
      <c r="M24" s="1" t="str">
        <f t="shared" si="0"/>
        <v>Grand Central</v>
      </c>
      <c r="N24" s="1" t="str">
        <f t="shared" si="1"/>
        <v>bus</v>
      </c>
      <c r="O24" s="1" t="str">
        <f t="shared" si="2"/>
        <v>LGA</v>
      </c>
      <c r="P24" s="1">
        <f t="shared" si="3"/>
        <v>18</v>
      </c>
      <c r="Q24" s="1">
        <f t="shared" si="4"/>
        <v>0</v>
      </c>
      <c r="R24" s="1">
        <f t="shared" si="5"/>
        <v>0</v>
      </c>
      <c r="S24" s="1">
        <f t="shared" si="6"/>
        <v>0</v>
      </c>
    </row>
    <row r="25" spans="2:19" x14ac:dyDescent="0.25">
      <c r="B25" s="4" t="s">
        <v>22</v>
      </c>
      <c r="C25" s="7" t="s">
        <v>14</v>
      </c>
      <c r="D25" s="4" t="s">
        <v>3</v>
      </c>
      <c r="E25" s="1">
        <v>24</v>
      </c>
      <c r="F25" s="7">
        <f>IF(Table1_2[[#This Row],[Travel Type]]="Car", Flights!$C$13*VLOOKUP(Table1_2[Ending], Typical!$B$3:$C$12, 2, FALSE), 0)</f>
        <v>0</v>
      </c>
      <c r="G25" s="7">
        <v>1</v>
      </c>
      <c r="H25" s="7">
        <f>(Table1_2[Value]+Table1_2[Parking])*Table1_2[Order]</f>
        <v>24</v>
      </c>
      <c r="I25"/>
      <c r="L25"/>
      <c r="M25" s="1" t="str">
        <f t="shared" si="0"/>
        <v>Grand Central</v>
      </c>
      <c r="N25" s="1" t="str">
        <f t="shared" si="1"/>
        <v>bus</v>
      </c>
      <c r="O25" s="1" t="str">
        <f t="shared" si="2"/>
        <v>JFK</v>
      </c>
      <c r="P25" s="1">
        <f t="shared" si="3"/>
        <v>24</v>
      </c>
      <c r="Q25" s="1">
        <f t="shared" si="4"/>
        <v>0</v>
      </c>
      <c r="R25" s="1">
        <f t="shared" si="5"/>
        <v>1</v>
      </c>
      <c r="S25" s="1">
        <f t="shared" si="6"/>
        <v>24</v>
      </c>
    </row>
    <row r="26" spans="2:19" x14ac:dyDescent="0.25">
      <c r="B26" s="4" t="s">
        <v>9</v>
      </c>
      <c r="C26" s="7" t="s">
        <v>14</v>
      </c>
      <c r="D26" s="4" t="s">
        <v>8</v>
      </c>
      <c r="E26" s="1">
        <v>10</v>
      </c>
      <c r="F26" s="7">
        <f>IF(Table1_2[[#This Row],[Travel Type]]="Car", Flights!$C$13*VLOOKUP(Table1_2[Ending], Typical!$B$3:$C$12, 2, FALSE), 0)</f>
        <v>0</v>
      </c>
      <c r="G26" s="7">
        <v>0</v>
      </c>
      <c r="H26" s="7">
        <f>(Table1_2[Value]+Table1_2[Parking])*Table1_2[Order]</f>
        <v>0</v>
      </c>
      <c r="I26"/>
      <c r="L26"/>
      <c r="M26" s="1" t="str">
        <f t="shared" si="0"/>
        <v>LoganExpress</v>
      </c>
      <c r="N26" s="1" t="str">
        <f t="shared" si="1"/>
        <v>bus</v>
      </c>
      <c r="O26" s="1" t="str">
        <f t="shared" si="2"/>
        <v>BOS</v>
      </c>
      <c r="P26" s="1">
        <f t="shared" si="3"/>
        <v>10</v>
      </c>
      <c r="Q26" s="1">
        <f t="shared" si="4"/>
        <v>0</v>
      </c>
      <c r="R26" s="1">
        <f t="shared" si="5"/>
        <v>0</v>
      </c>
      <c r="S26" s="1">
        <f t="shared" si="6"/>
        <v>0</v>
      </c>
    </row>
    <row r="27" spans="2:19" x14ac:dyDescent="0.25">
      <c r="B27" s="4" t="s">
        <v>6</v>
      </c>
      <c r="C27" s="7" t="s">
        <v>12</v>
      </c>
      <c r="D27" s="4" t="s">
        <v>4</v>
      </c>
      <c r="E27" s="1">
        <v>208</v>
      </c>
      <c r="F27" s="7">
        <f>IF(Table1_2[[#This Row],[Travel Type]]="Car", Flights!$C$13*VLOOKUP(Table1_2[Ending], Typical!$B$3:$C$12, 2, FALSE), 0)</f>
        <v>0</v>
      </c>
      <c r="G27" s="7">
        <v>0</v>
      </c>
      <c r="H27" s="7">
        <f>(Table1_2[Value]+Table1_2[Parking])*Table1_2[Order]</f>
        <v>0</v>
      </c>
      <c r="I27"/>
      <c r="L27"/>
      <c r="M27" s="1" t="str">
        <f t="shared" si="0"/>
        <v>LGA</v>
      </c>
      <c r="N27" s="1" t="str">
        <f t="shared" si="1"/>
        <v>Plane</v>
      </c>
      <c r="O27" s="1" t="str">
        <f t="shared" si="2"/>
        <v>ATL</v>
      </c>
      <c r="P27" s="1">
        <f t="shared" si="3"/>
        <v>208</v>
      </c>
      <c r="Q27" s="1">
        <f t="shared" si="4"/>
        <v>0</v>
      </c>
      <c r="R27" s="1">
        <f t="shared" si="5"/>
        <v>0</v>
      </c>
      <c r="S27" s="1">
        <f t="shared" si="6"/>
        <v>0</v>
      </c>
    </row>
    <row r="28" spans="2:19" x14ac:dyDescent="0.25">
      <c r="B28" s="4" t="s">
        <v>3</v>
      </c>
      <c r="C28" s="7" t="s">
        <v>12</v>
      </c>
      <c r="D28" s="4" t="s">
        <v>4</v>
      </c>
      <c r="E28" s="1">
        <v>188</v>
      </c>
      <c r="F28" s="7">
        <f>IF(Table1_2[[#This Row],[Travel Type]]="Car", Flights!$C$13*VLOOKUP(Table1_2[Ending], Typical!$B$3:$C$12, 2, FALSE), 0)</f>
        <v>0</v>
      </c>
      <c r="G28" s="7">
        <v>1</v>
      </c>
      <c r="H28" s="7">
        <f>(Table1_2[Value]+Table1_2[Parking])*Table1_2[Order]</f>
        <v>188</v>
      </c>
      <c r="I28"/>
      <c r="L28"/>
      <c r="M28" s="1" t="str">
        <f t="shared" si="0"/>
        <v>JFK</v>
      </c>
      <c r="N28" s="1" t="str">
        <f t="shared" si="1"/>
        <v>Plane</v>
      </c>
      <c r="O28" s="1" t="str">
        <f t="shared" si="2"/>
        <v>ATL</v>
      </c>
      <c r="P28" s="1">
        <f t="shared" si="3"/>
        <v>188</v>
      </c>
      <c r="Q28" s="1">
        <f t="shared" si="4"/>
        <v>0</v>
      </c>
      <c r="R28" s="1">
        <f t="shared" si="5"/>
        <v>1</v>
      </c>
      <c r="S28" s="1">
        <f t="shared" si="6"/>
        <v>188</v>
      </c>
    </row>
    <row r="29" spans="2:19" x14ac:dyDescent="0.25">
      <c r="B29" s="4" t="s">
        <v>7</v>
      </c>
      <c r="C29" s="7" t="s">
        <v>12</v>
      </c>
      <c r="D29" s="4" t="s">
        <v>4</v>
      </c>
      <c r="E29" s="1">
        <v>209</v>
      </c>
      <c r="F29" s="7">
        <f>IF(Table1_2[[#This Row],[Travel Type]]="Car", Flights!$C$13*VLOOKUP(Table1_2[Ending], Typical!$B$3:$C$12, 2, FALSE), 0)</f>
        <v>0</v>
      </c>
      <c r="G29" s="7">
        <v>0</v>
      </c>
      <c r="H29" s="7">
        <f>(Table1_2[Value]+Table1_2[Parking])*Table1_2[Order]</f>
        <v>0</v>
      </c>
      <c r="I29"/>
      <c r="L29"/>
      <c r="M29" s="1" t="str">
        <f t="shared" ref="M29:M34" si="7">B29</f>
        <v>BDL</v>
      </c>
      <c r="N29" s="1" t="str">
        <f t="shared" ref="N29:N34" si="8">C29</f>
        <v>Plane</v>
      </c>
      <c r="O29" s="1" t="str">
        <f t="shared" ref="O29:O34" si="9">D29</f>
        <v>ATL</v>
      </c>
      <c r="P29" s="1">
        <f t="shared" ref="P29:P34" si="10">E29</f>
        <v>209</v>
      </c>
      <c r="Q29" s="1">
        <f t="shared" ref="Q29:Q34" si="11">F29</f>
        <v>0</v>
      </c>
      <c r="R29" s="1">
        <f t="shared" ref="R29:R34" si="12">G29</f>
        <v>0</v>
      </c>
      <c r="S29" s="1">
        <f t="shared" ref="S29:S34" si="13">H29</f>
        <v>0</v>
      </c>
    </row>
    <row r="30" spans="2:19" x14ac:dyDescent="0.25">
      <c r="B30" s="4" t="s">
        <v>25</v>
      </c>
      <c r="C30" s="7" t="s">
        <v>12</v>
      </c>
      <c r="D30" s="4" t="s">
        <v>4</v>
      </c>
      <c r="E30" s="1">
        <v>160</v>
      </c>
      <c r="F30" s="7">
        <f>IF(Table1_2[[#This Row],[Travel Type]]="Car", Flights!$C$13*VLOOKUP(Table1_2[Ending], Typical!$B$3:$C$12, 2, FALSE), 0)</f>
        <v>0</v>
      </c>
      <c r="G30" s="7">
        <v>0</v>
      </c>
      <c r="H30" s="7">
        <f>(Table1_2[Value]+Table1_2[Parking])*Table1_2[Order]</f>
        <v>0</v>
      </c>
      <c r="I30"/>
      <c r="L30"/>
      <c r="M30" s="1" t="str">
        <f t="shared" si="7"/>
        <v>PVD</v>
      </c>
      <c r="N30" s="1" t="str">
        <f t="shared" si="8"/>
        <v>Plane</v>
      </c>
      <c r="O30" s="1" t="str">
        <f t="shared" si="9"/>
        <v>ATL</v>
      </c>
      <c r="P30" s="1">
        <f t="shared" si="10"/>
        <v>160</v>
      </c>
      <c r="Q30" s="1">
        <f t="shared" si="11"/>
        <v>0</v>
      </c>
      <c r="R30" s="1">
        <f t="shared" si="12"/>
        <v>0</v>
      </c>
      <c r="S30" s="1">
        <f t="shared" si="13"/>
        <v>0</v>
      </c>
    </row>
    <row r="31" spans="2:19" x14ac:dyDescent="0.25">
      <c r="B31" s="4" t="s">
        <v>8</v>
      </c>
      <c r="C31" s="7" t="s">
        <v>12</v>
      </c>
      <c r="D31" s="4" t="s">
        <v>4</v>
      </c>
      <c r="E31" s="1">
        <v>1000</v>
      </c>
      <c r="F31" s="7">
        <f>IF(Table1_2[[#This Row],[Travel Type]]="Car", Flights!$C$13*VLOOKUP(Table1_2[Ending], Typical!$B$3:$C$12, 2, FALSE), 0)</f>
        <v>0</v>
      </c>
      <c r="G31" s="7">
        <v>0</v>
      </c>
      <c r="H31" s="7">
        <f>(Table1_2[Value]+Table1_2[Parking])*Table1_2[Order]</f>
        <v>0</v>
      </c>
      <c r="I31"/>
      <c r="L31"/>
      <c r="M31" s="1" t="str">
        <f t="shared" si="7"/>
        <v>BOS</v>
      </c>
      <c r="N31" s="1" t="str">
        <f t="shared" si="8"/>
        <v>Plane</v>
      </c>
      <c r="O31" s="1" t="str">
        <f t="shared" si="9"/>
        <v>ATL</v>
      </c>
      <c r="P31" s="1">
        <f t="shared" si="10"/>
        <v>1000</v>
      </c>
      <c r="Q31" s="1">
        <f t="shared" si="11"/>
        <v>0</v>
      </c>
      <c r="R31" s="1">
        <f t="shared" si="12"/>
        <v>0</v>
      </c>
      <c r="S31" s="1">
        <f t="shared" si="13"/>
        <v>0</v>
      </c>
    </row>
    <row r="32" spans="2:19" x14ac:dyDescent="0.25">
      <c r="I32"/>
      <c r="L32"/>
      <c r="M32" s="1">
        <f t="shared" si="7"/>
        <v>0</v>
      </c>
      <c r="N32" s="1">
        <f t="shared" si="8"/>
        <v>0</v>
      </c>
      <c r="O32" s="1">
        <f t="shared" si="9"/>
        <v>0</v>
      </c>
      <c r="P32" s="1">
        <f t="shared" si="10"/>
        <v>0</v>
      </c>
      <c r="Q32" s="1">
        <f t="shared" si="11"/>
        <v>0</v>
      </c>
      <c r="R32" s="1">
        <f t="shared" si="12"/>
        <v>0</v>
      </c>
      <c r="S32" s="1">
        <f t="shared" si="13"/>
        <v>0</v>
      </c>
    </row>
    <row r="33" spans="13:19" x14ac:dyDescent="0.25">
      <c r="M33" s="1">
        <f t="shared" si="7"/>
        <v>0</v>
      </c>
      <c r="N33" s="1">
        <f t="shared" si="8"/>
        <v>0</v>
      </c>
      <c r="O33" s="1">
        <f t="shared" si="9"/>
        <v>0</v>
      </c>
      <c r="P33" s="1">
        <f t="shared" si="10"/>
        <v>0</v>
      </c>
      <c r="Q33" s="1">
        <f t="shared" si="11"/>
        <v>0</v>
      </c>
      <c r="R33" s="1">
        <f t="shared" si="12"/>
        <v>0</v>
      </c>
      <c r="S33" s="1">
        <f t="shared" si="13"/>
        <v>0</v>
      </c>
    </row>
    <row r="34" spans="13:19" x14ac:dyDescent="0.25">
      <c r="M34" s="1">
        <f t="shared" si="7"/>
        <v>0</v>
      </c>
      <c r="N34" s="1">
        <f t="shared" si="8"/>
        <v>0</v>
      </c>
      <c r="O34" s="1">
        <f t="shared" si="9"/>
        <v>0</v>
      </c>
      <c r="P34" s="1">
        <f t="shared" si="10"/>
        <v>0</v>
      </c>
      <c r="Q34" s="1">
        <f t="shared" si="11"/>
        <v>0</v>
      </c>
      <c r="R34" s="1">
        <f t="shared" si="12"/>
        <v>0</v>
      </c>
      <c r="S34" s="1">
        <f t="shared" si="13"/>
        <v>0</v>
      </c>
    </row>
  </sheetData>
  <mergeCells count="1">
    <mergeCell ref="M5:S5"/>
  </mergeCells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CCF877-3F7D-4FBD-ABE2-556BA13F66F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Flights</vt:lpstr>
      <vt:lpstr>Typical</vt:lpstr>
      <vt:lpstr>Optimization</vt:lpstr>
    </vt:vector>
  </TitlesOfParts>
  <Company>Covidien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Thumaty, Abhishek</dc:creator>
  <cp:lastModifiedBy>Thumaty, Abhishek</cp:lastModifiedBy>
  <dcterms:created xsi:type="dcterms:W3CDTF">2018-03-29T13:45:21Z</dcterms:created>
  <dcterms:modified xsi:type="dcterms:W3CDTF">2020-05-21T03:14:22Z</dcterms:modified>
</cp:coreProperties>
</file>